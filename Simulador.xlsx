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8_{7AE98308-E5ED-417F-B6D7-B3D237A7E62C}" xr6:coauthVersionLast="47" xr6:coauthVersionMax="47" xr10:uidLastSave="{00000000-0000-0000-0000-000000000000}"/>
  <bookViews>
    <workbookView xWindow="2037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3" l="1"/>
  <c r="W8" i="3"/>
  <c r="L17" i="3"/>
  <c r="P17" i="3" l="1"/>
  <c r="L15" i="3"/>
  <c r="Q13" i="3"/>
  <c r="M13" i="3"/>
  <c r="P7" i="3"/>
  <c r="W19" i="3" l="1"/>
  <c r="L19" i="3"/>
  <c r="Q6" i="3"/>
  <c r="L15" i="1"/>
  <c r="L18" i="3" l="1"/>
  <c r="N13" i="3"/>
  <c r="L8" i="3"/>
  <c r="L17" i="1"/>
  <c r="P17" i="1" s="1"/>
  <c r="N13" i="1"/>
  <c r="L16" i="1" s="1"/>
  <c r="M13" i="1"/>
  <c r="L19" i="1" s="1"/>
  <c r="P7" i="1"/>
  <c r="Q13" i="1"/>
  <c r="N21" i="3" l="1"/>
  <c r="X5" i="3"/>
  <c r="L8" i="1"/>
  <c r="L18" i="1"/>
  <c r="W5" i="3" l="1"/>
  <c r="J9" i="3" s="1"/>
  <c r="J9" i="1"/>
  <c r="J20" i="1" s="1"/>
  <c r="J10" i="3" l="1"/>
  <c r="X16" i="3"/>
  <c r="J10" i="1"/>
  <c r="W16" i="3" l="1"/>
  <c r="M21" i="3" s="1"/>
  <c r="L20" i="3" l="1"/>
  <c r="Q2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substituição, GECCetc)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L5 + J13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  <comment ref="I21" authorId="0" shapeId="0" xr:uid="{354C0ED8-C217-4CD8-8B00-90DD09351D44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Somente se os dados de remuneração e contribuição do servidor estiverem zerados. </t>
        </r>
      </text>
    </comment>
  </commentList>
</comments>
</file>

<file path=xl/sharedStrings.xml><?xml version="1.0" encoding="utf-8"?>
<sst xmlns="http://schemas.openxmlformats.org/spreadsheetml/2006/main" count="94" uniqueCount="59">
  <si>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</si>
  <si>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</si>
  <si>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</si>
  <si>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</si>
  <si>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</si>
  <si>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</si>
  <si>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</si>
  <si>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</si>
  <si>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</si>
  <si>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</si>
  <si>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</si>
  <si>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</si>
  <si>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</si>
  <si>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</si>
  <si>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</si>
  <si>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</si>
  <si>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</si>
  <si>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</si>
  <si>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</si>
  <si>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</si>
  <si>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</si>
  <si>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</si>
  <si>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</si>
  <si>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</si>
  <si>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</si>
  <si>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</si>
  <si>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</si>
  <si>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</si>
  <si>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</si>
  <si>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</si>
  <si>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</si>
  <si>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Valor do IR (apenas para colaborar externo):</t>
  </si>
  <si>
    <t>Valor do IR (para servidores):</t>
  </si>
  <si>
    <t>Simulador IR do contracheque do servidor (preencher somente as células azuis):</t>
  </si>
  <si>
    <t>Líquido a receber: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</si>
  <si>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</si>
  <si>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</si>
  <si>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</si>
  <si>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</si>
  <si>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</si>
  <si>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</si>
  <si>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</si>
  <si>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</si>
  <si>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</si>
  <si>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</si>
  <si>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</si>
  <si>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</si>
  <si>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</si>
  <si>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</si>
  <si>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</si>
  <si>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</si>
  <si>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</si>
  <si>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</si>
  <si>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</si>
  <si>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</si>
  <si>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Revisão 13.2026.2 - 24/01/2026</t>
  </si>
  <si>
    <r>
      <rPr>
        <b/>
        <sz val="11"/>
        <color rgb="FFFF0000"/>
        <rFont val="Aptos Narrow"/>
        <family val="2"/>
        <scheme val="minor"/>
      </rPr>
      <t xml:space="preserve">Referência: </t>
    </r>
    <r>
      <rPr>
        <b/>
        <sz val="11"/>
        <color theme="1"/>
        <rFont val="Aptos Narrow"/>
        <family val="2"/>
        <scheme val="minor"/>
      </rPr>
      <t>(digite o nome do servidor/colaborador e o mês de referência)</t>
    </r>
  </si>
  <si>
    <t>Campo de referência para informação do nome do servidor/colaborador - G24</t>
  </si>
  <si>
    <t>Adequação da planilha para a nova metodologia de cálculo do IR para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</si>
</sst>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4" fontId="5" fillId="6" borderId="1" xfId="0" applyNumberFormat="1" applyFont="1" applyFill="1" applyBorder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12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1" fillId="5" borderId="0" xfId="0" applyFont="1" applyFill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6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12" fillId="0" borderId="0" xfId="0" applyFont="1" applyAlignment="1">
      <alignment horizontal="left" vertical="center"/>
    </xf>
    <xf numFmtId="0" fontId="0" fillId="13" borderId="1" xfId="0" applyFill="1" applyBorder="1" applyAlignment="1">
      <alignment horizontal="center"/>
    </xf>
    <xf numFmtId="4" fontId="13" fillId="14" borderId="1" xfId="0" applyNumberFormat="1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4" fontId="13" fillId="0" borderId="1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15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22</xdr:row>
      <xdr:rowOff>5203</xdr:rowOff>
    </xdr:from>
    <xdr:to>
      <xdr:col>7</xdr:col>
      <xdr:colOff>161925</xdr:colOff>
      <xdr:row>22</xdr:row>
      <xdr:rowOff>190473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11</xdr:col>
      <xdr:colOff>114300</xdr:colOff>
      <xdr:row>20</xdr:row>
      <xdr:rowOff>114300</xdr:rowOff>
    </xdr:from>
    <xdr:to>
      <xdr:col>11</xdr:col>
      <xdr:colOff>723900</xdr:colOff>
      <xdr:row>20</xdr:row>
      <xdr:rowOff>114300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A82487BC-7945-4639-85D8-60BD80493A9F}"/>
            </a:ext>
          </a:extLst>
        </xdr:cNvPr>
        <xdr:cNvCxnSpPr/>
      </xdr:nvCxnSpPr>
      <xdr:spPr>
        <a:xfrm>
          <a:off x="7134225" y="3933825"/>
          <a:ext cx="609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35" t="s">
        <v>0</v>
      </c>
      <c r="B1" s="36"/>
      <c r="C1" s="36"/>
      <c r="D1" s="37"/>
      <c r="E1" s="43" t="s">
        <v>26</v>
      </c>
      <c r="F1" s="44"/>
      <c r="G1" s="44"/>
      <c r="H1" s="44"/>
      <c r="I1" s="45"/>
      <c r="J1" s="42" t="s">
        <v>23</v>
      </c>
      <c r="K1" s="42"/>
      <c r="L1" s="42"/>
      <c r="M1" s="42"/>
      <c r="N1" s="42"/>
      <c r="O1" s="42"/>
    </row>
    <row r="2" spans="1:21" x14ac:dyDescent="0.25">
      <c r="E2" s="10"/>
      <c r="J2" s="42"/>
      <c r="K2" s="42"/>
      <c r="L2" s="42"/>
      <c r="M2" s="42"/>
      <c r="N2" s="42"/>
      <c r="O2" s="42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1" t="s">
        <v>16</v>
      </c>
      <c r="I3" s="41"/>
      <c r="J3" s="41"/>
      <c r="K3" s="41"/>
      <c r="L3" s="41"/>
      <c r="M3" s="41"/>
      <c r="N3" s="41"/>
      <c r="O3" s="41"/>
      <c r="P3" s="41"/>
      <c r="Q3" s="41"/>
      <c r="R3" s="41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40" t="s">
        <v>5</v>
      </c>
      <c r="B10" s="40"/>
      <c r="C10" s="40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41" t="s">
        <v>22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38" t="s">
        <v>8</v>
      </c>
      <c r="J16" s="38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4"/>
  <sheetViews>
    <sheetView showGridLines="0" tabSelected="1" workbookViewId="0">
      <selection activeCell="E1" sqref="E1:I1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0" max="20" width="0" hidden="1" customWidth="1"/>
    <col min="21" max="21" width="13.7109375" hidden="1" customWidth="1"/>
    <col min="22" max="22" width="15" hidden="1" customWidth="1"/>
    <col min="23" max="23" width="31.7109375" hidden="1" customWidth="1"/>
    <col min="24" max="24" width="30.42578125" hidden="1" customWidth="1"/>
  </cols>
  <sheetData>
    <row r="1" spans="1:24" x14ac:dyDescent="0.25">
      <c r="A1" s="35" t="s">
        <v>45</v>
      </c>
      <c r="B1" s="36"/>
      <c r="C1" s="36"/>
      <c r="D1" s="37"/>
      <c r="E1" s="49" t="s">
        <v>55</v>
      </c>
      <c r="F1" s="50"/>
      <c r="G1" s="50"/>
      <c r="H1" s="50"/>
      <c r="I1" s="51"/>
      <c r="J1" s="55" t="s">
        <v>40</v>
      </c>
      <c r="K1" s="55"/>
      <c r="L1" s="55"/>
      <c r="M1" s="55"/>
      <c r="N1" s="55"/>
      <c r="O1" s="55"/>
    </row>
    <row r="2" spans="1:24" x14ac:dyDescent="0.25">
      <c r="A2" s="58" t="s">
        <v>41</v>
      </c>
      <c r="B2" s="58"/>
      <c r="C2" s="58"/>
      <c r="D2" s="58"/>
      <c r="E2" s="10"/>
      <c r="J2" s="55"/>
      <c r="K2" s="55"/>
      <c r="L2" s="55"/>
      <c r="M2" s="55"/>
      <c r="N2" s="55"/>
      <c r="O2" s="55"/>
      <c r="V2" s="35" t="s">
        <v>38</v>
      </c>
      <c r="W2" s="36"/>
      <c r="X2" s="37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31"/>
      <c r="H3" s="56" t="s">
        <v>33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31"/>
      <c r="V3" s="63" t="s">
        <v>35</v>
      </c>
      <c r="W3" s="64"/>
      <c r="X3" s="65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31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1"/>
      <c r="V4" s="27" t="s">
        <v>36</v>
      </c>
      <c r="W4" s="28" t="s">
        <v>37</v>
      </c>
      <c r="X4" s="29" t="s">
        <v>44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31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31"/>
      <c r="U5" s="57" t="s">
        <v>39</v>
      </c>
      <c r="V5" s="66">
        <v>0</v>
      </c>
      <c r="W5" s="66" t="e">
        <f>$X$5-$W$8</f>
        <v>#VALUE!</v>
      </c>
      <c r="X5" s="66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31"/>
      <c r="H6" s="4"/>
      <c r="I6" s="4" t="s">
        <v>8</v>
      </c>
      <c r="J6" s="4"/>
      <c r="K6" s="4"/>
      <c r="L6" s="15">
        <v>0</v>
      </c>
      <c r="M6" s="4"/>
      <c r="N6" s="39" t="s">
        <v>27</v>
      </c>
      <c r="O6" s="39"/>
      <c r="P6" s="52"/>
      <c r="Q6" s="7">
        <f>IF(L6+P7&lt;C11,C11,L6+P7)</f>
        <v>607.20000000000005</v>
      </c>
      <c r="R6" s="4"/>
      <c r="S6" s="31"/>
      <c r="U6" s="57"/>
      <c r="V6" s="66"/>
      <c r="W6" s="66"/>
      <c r="X6" s="66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31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31"/>
      <c r="W7" s="24" t="s">
        <v>42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31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1"/>
      <c r="W8" s="59">
        <f>IF(AND(L5&gt;5000,L5&lt;=7350),978.62-(0.133145*L5),0)</f>
        <v>0</v>
      </c>
    </row>
    <row r="9" spans="1:24" x14ac:dyDescent="0.25">
      <c r="E9" s="10"/>
      <c r="G9" s="31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1"/>
      <c r="U9" s="12"/>
      <c r="W9" s="59"/>
    </row>
    <row r="10" spans="1:24" x14ac:dyDescent="0.25">
      <c r="A10" s="40" t="s">
        <v>5</v>
      </c>
      <c r="B10" s="40"/>
      <c r="C10" s="40"/>
      <c r="D10" s="2">
        <v>189.59</v>
      </c>
      <c r="E10" s="11"/>
      <c r="G10" s="31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1"/>
      <c r="W10" s="30" t="s">
        <v>43</v>
      </c>
    </row>
    <row r="11" spans="1:24" x14ac:dyDescent="0.25">
      <c r="A11" s="35" t="s">
        <v>30</v>
      </c>
      <c r="B11" s="37"/>
      <c r="C11" s="2">
        <v>607.20000000000005</v>
      </c>
      <c r="G11" s="31"/>
      <c r="H11" s="56" t="s">
        <v>22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31"/>
    </row>
    <row r="12" spans="1:24" x14ac:dyDescent="0.25">
      <c r="G12" s="31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1"/>
    </row>
    <row r="13" spans="1:24" x14ac:dyDescent="0.25">
      <c r="A13" s="14" t="s">
        <v>21</v>
      </c>
      <c r="G13" s="31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1"/>
      <c r="V13" s="60" t="s">
        <v>46</v>
      </c>
      <c r="W13" s="61"/>
      <c r="X13" s="62"/>
    </row>
    <row r="14" spans="1:24" x14ac:dyDescent="0.25">
      <c r="G14" s="3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1"/>
      <c r="V14" s="63" t="s">
        <v>35</v>
      </c>
      <c r="W14" s="64"/>
      <c r="X14" s="65"/>
    </row>
    <row r="15" spans="1:24" x14ac:dyDescent="0.25">
      <c r="G15" s="31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31"/>
      <c r="V15" s="27" t="s">
        <v>36</v>
      </c>
      <c r="W15" s="28" t="s">
        <v>37</v>
      </c>
      <c r="X15" s="29" t="s">
        <v>44</v>
      </c>
    </row>
    <row r="16" spans="1:24" x14ac:dyDescent="0.25">
      <c r="G16" s="31"/>
      <c r="H16" s="4"/>
      <c r="I16" s="38" t="s">
        <v>8</v>
      </c>
      <c r="J16" s="38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1"/>
      <c r="T16" s="57" t="s">
        <v>47</v>
      </c>
      <c r="U16" s="67"/>
      <c r="V16" s="66">
        <v>0</v>
      </c>
      <c r="W16" s="66" t="e">
        <f>$X$16-W19</f>
        <v>#VALUE!</v>
      </c>
      <c r="X16" s="66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 x14ac:dyDescent="0.25">
      <c r="G17" s="31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1"/>
      <c r="T17" s="57"/>
      <c r="U17" s="67"/>
      <c r="V17" s="66"/>
      <c r="W17" s="66"/>
      <c r="X17" s="66"/>
    </row>
    <row r="18" spans="1:24" x14ac:dyDescent="0.25">
      <c r="G18" s="31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1"/>
      <c r="W18" s="24" t="s">
        <v>42</v>
      </c>
    </row>
    <row r="19" spans="1:24" ht="15.75" customHeight="1" x14ac:dyDescent="0.25">
      <c r="G19" s="31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31"/>
      <c r="W19" s="59">
        <f>IF(AND(L15&gt;5000,L15&lt;=7350),978.62-(0.133145*L15),0)</f>
        <v>0</v>
      </c>
    </row>
    <row r="20" spans="1:24" x14ac:dyDescent="0.25">
      <c r="G20" s="31"/>
      <c r="H20" s="4"/>
      <c r="I20" s="47" t="s">
        <v>32</v>
      </c>
      <c r="J20" s="47"/>
      <c r="K20" s="4"/>
      <c r="L20" s="7">
        <f>IF(AND(L5&lt;&gt;0,L6&lt;&gt;0),IF(L15&lt;=5000,V16,IF(AND(L15&gt;5000,L15&lt;=7350),W16,X16)),0)</f>
        <v>0</v>
      </c>
      <c r="M20" s="5" t="s">
        <v>19</v>
      </c>
      <c r="N20" s="4"/>
      <c r="O20" s="4"/>
      <c r="P20" s="4"/>
      <c r="Q20" s="4"/>
      <c r="R20" s="4"/>
      <c r="S20" s="31"/>
      <c r="U20" s="12"/>
      <c r="W20" s="59"/>
    </row>
    <row r="21" spans="1:24" x14ac:dyDescent="0.25">
      <c r="A21" s="13" t="s">
        <v>24</v>
      </c>
      <c r="G21" s="31"/>
      <c r="H21" s="4"/>
      <c r="I21" s="48" t="s">
        <v>31</v>
      </c>
      <c r="J21" s="48"/>
      <c r="K21" s="48"/>
      <c r="L21" s="20"/>
      <c r="M21" s="21">
        <f>IF(L5=0,IF(L15&lt;=5000,V16,IF(AND(L15&gt;5000,L15&lt;=7350),W16,X16)),"")</f>
        <v>0</v>
      </c>
      <c r="N21" s="23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,"")</f>
        <v/>
      </c>
      <c r="O21" s="53" t="s">
        <v>34</v>
      </c>
      <c r="P21" s="54"/>
      <c r="Q21" s="7">
        <f>IF(L5=0,J13-M13-L20,"")</f>
        <v>0</v>
      </c>
      <c r="R21" s="4"/>
      <c r="S21" s="31"/>
      <c r="W21" s="30" t="s">
        <v>43</v>
      </c>
    </row>
    <row r="22" spans="1:24" x14ac:dyDescent="0.25">
      <c r="G22" s="31"/>
      <c r="H22" s="68" t="s">
        <v>52</v>
      </c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31"/>
    </row>
    <row r="23" spans="1:24" x14ac:dyDescent="0.25">
      <c r="L23" s="22"/>
    </row>
    <row r="24" spans="1:24" x14ac:dyDescent="0.25">
      <c r="G24" s="46" t="s">
        <v>56</v>
      </c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</sheetData>
  <sheetProtection algorithmName="SHA-512" hashValue="d/RCvQZb9Uj29QrLWX7DLlP2JdMELzfFtMBRKp9HAkg7t/FSwHGIcDtPW2YUxRM1S8/3G6Or7QCqnwWvirX52A==" saltValue="f07BlyTVKsmVZEZAvLZFDg==" spinCount="100000" sheet="1" objects="1" scenarios="1"/>
  <mergeCells count="31">
    <mergeCell ref="V16:V17"/>
    <mergeCell ref="W16:W17"/>
    <mergeCell ref="X16:X17"/>
    <mergeCell ref="W19:W20"/>
    <mergeCell ref="T16:U17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E1:I1"/>
    <mergeCell ref="N6:P6"/>
    <mergeCell ref="A11:B11"/>
    <mergeCell ref="O21:P21"/>
    <mergeCell ref="A1:D1"/>
    <mergeCell ref="J1:O2"/>
    <mergeCell ref="H3:R3"/>
    <mergeCell ref="I5:J5"/>
    <mergeCell ref="A10:C10"/>
    <mergeCell ref="G24:S24"/>
    <mergeCell ref="I20:J20"/>
    <mergeCell ref="I21:K21"/>
    <mergeCell ref="I15:J15"/>
    <mergeCell ref="I16:J16"/>
    <mergeCell ref="H22:R22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8" sqref="C8"/>
    </sheetView>
  </sheetViews>
  <sheetFormatPr defaultRowHeight="15" x14ac:dyDescent="0.25"/>
  <cols>
    <col min="1" max="1" width="14.5703125" style="25" customWidth="1"/>
    <col min="2" max="2" width="12.5703125" style="25" customWidth="1"/>
    <col min="3" max="3" width="79.28515625" style="25" customWidth="1"/>
  </cols>
  <sheetData>
    <row r="1" spans="1:3" x14ac:dyDescent="0.25">
      <c r="A1" s="32" t="s">
        <v>48</v>
      </c>
      <c r="B1" s="26" t="s">
        <v>49</v>
      </c>
      <c r="C1" s="26" t="s">
        <v>50</v>
      </c>
    </row>
    <row r="2" spans="1:3" x14ac:dyDescent="0.25">
      <c r="A2" s="33">
        <v>46043</v>
      </c>
      <c r="B2" s="25" t="s">
        <v>51</v>
      </c>
      <c r="C2" s="25" t="s">
        <v>58</v>
      </c>
    </row>
    <row r="3" spans="1:3" x14ac:dyDescent="0.25">
      <c r="A3" s="69">
        <v>46046</v>
      </c>
      <c r="B3" s="34" t="s">
        <v>53</v>
      </c>
      <c r="C3" s="34" t="s">
        <v>54</v>
      </c>
    </row>
    <row r="4" spans="1:3" x14ac:dyDescent="0.25">
      <c r="C4" s="25" t="s">
        <v>57</v>
      </c>
    </row>
    <row r="5" spans="1:3" x14ac:dyDescent="0.25">
      <c r="A5" s="34"/>
      <c r="B5" s="34"/>
      <c r="C5" s="34"/>
    </row>
    <row r="7" spans="1:3" x14ac:dyDescent="0.25">
      <c r="A7" s="34"/>
      <c r="B7" s="34"/>
      <c r="C7" s="34"/>
    </row>
    <row r="9" spans="1:3" x14ac:dyDescent="0.25">
      <c r="A9" s="34"/>
      <c r="B9" s="34"/>
      <c r="C9" s="34"/>
    </row>
    <row r="11" spans="1:3" x14ac:dyDescent="0.25">
      <c r="A11" s="34"/>
      <c r="B11" s="34"/>
      <c r="C11" s="34"/>
    </row>
  </sheetData>
  <phoneticPr fontId="1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2026-01-24T14:38:07Z</cp:lastPrinted>
  <dcterms:created xsi:type="dcterms:W3CDTF">2025-03-31T18:44:38Z</dcterms:created>
  <dcterms:modified xsi:type="dcterms:W3CDTF">2026-01-24T14:58:54Z</dcterms:modified>
</cp:coreProperties>
</file>