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rod\Desktop\Documentos office e PDFs\Planilhas Excel\Cálculo do IR\"/>
    </mc:Choice>
  </mc:AlternateContent>
  <xr:revisionPtr revIDLastSave="0" documentId="13_ncr:1_{5A9E40CB-4157-45E4-AEC6-B87370EAABDA}" xr6:coauthVersionLast="47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Simulador  IR 2024" sheetId="1" state="hidden" r:id="rId1"/>
    <sheet name="Simulador IR 2025" sheetId="3" r:id="rId2"/>
    <sheet name="Controle de revisã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3" l="1"/>
  <c r="W8" i="3"/>
  <c r="L17" i="3"/>
  <c r="P17" i="3" l="1"/>
  <c r="L15" i="3"/>
  <c r="Q13" i="3"/>
  <c r="M13" i="3"/>
  <c r="P7" i="3"/>
  <c r="L19" i="3" l="1"/>
  <c r="L16" i="3"/>
  <c r="Q6" i="3"/>
  <c r="L15" i="1"/>
  <c r="L18" i="3" l="1"/>
  <c r="N13" i="3"/>
  <c r="L8" i="3"/>
  <c r="L17" i="1"/>
  <c r="P17" i="1" s="1"/>
  <c r="N13" i="1"/>
  <c r="L16" i="1" s="1"/>
  <c r="M13" i="1"/>
  <c r="L19" i="1" s="1"/>
  <c r="P7" i="1"/>
  <c r="Q13" i="1"/>
  <c r="N21" i="3" l="1"/>
  <c r="X5" i="3"/>
  <c r="L8" i="1"/>
  <c r="L18" i="1"/>
  <c r="W5" i="3" l="1"/>
  <c r="J9" i="3" s="1"/>
  <c r="J9" i="1"/>
  <c r="J20" i="1" s="1"/>
  <c r="J10" i="3" l="1"/>
  <c r="X16" i="3"/>
  <c r="L20" i="3" s="1"/>
  <c r="J10" i="1"/>
  <c r="Q21" i="3" l="1"/>
  <c r="W16" i="3"/>
  <c r="M21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Jrod</author>
  </authors>
  <commentList>
    <comment ref="I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Remuneração básica, Qualificação, FG, CD, Gratificação Natalina, 13º salário, 1/3 férias, etc)</t>
        </r>
      </text>
    </comment>
    <comment ref="I1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(Remuneração básica, Qualificação, FG, CD, Gratificação Natalina, 13º salário, 1/3 férias, etc) + valor da bolsa</t>
        </r>
      </text>
    </comment>
    <comment ref="I20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Valor calculado sobre a Base de cálculo da célula L18, subtraído do IR já retido no contracheque, célula J9.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Jrod</author>
  </authors>
  <commentList>
    <comment ref="I5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Remuneração básica, Qualificação IQ, FG, CD, Gratificação Natalina, substituição, etc)</t>
        </r>
      </text>
    </comment>
    <comment ref="J6" authorId="0" shapeId="0" xr:uid="{D338E1C1-5729-4EA8-94C7-0924A8474E1F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Inclui Funpresp, Contribuição Plano Seguridade Social, Pensão alimentícia e outras deduções obrigatórias.</t>
        </r>
      </text>
    </comment>
    <comment ref="I15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(Remuneração básica, Qualificação, FG, CD, Gratificação Natalina, 13º salário, 1/3 férias, etc) + valor da bolsa</t>
        </r>
      </text>
    </comment>
    <comment ref="I20" authorId="0" shapeId="0" xr:uid="{00000000-0006-0000-0100-000003000000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Valor calculado sobre a Base de cálculo da célula L18, subtraído do IR já retido no contracheque, célula J9.</t>
        </r>
      </text>
    </comment>
    <comment ref="L20" authorId="0" shapeId="0" xr:uid="{77F7D2C0-24E5-4269-913C-3C1124496715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Se o IR for zerado, não haverá lançado de retenção no SIAFI.</t>
        </r>
      </text>
    </comment>
    <comment ref="I21" authorId="0" shapeId="0" xr:uid="{354C0ED8-C217-4CD8-8B00-90DD09351D44}">
      <text>
        <r>
          <rPr>
            <b/>
            <sz val="9"/>
            <color indexed="81"/>
            <rFont val="Segoe UI"/>
            <family val="2"/>
          </rPr>
          <t>Jrod:</t>
        </r>
        <r>
          <rPr>
            <sz val="9"/>
            <color indexed="81"/>
            <rFont val="Segoe UI"/>
            <family val="2"/>
          </rPr>
          <t xml:space="preserve">
Somente se os dados de remuneração e contribuição do servidor estiverem zerados. </t>
        </r>
      </text>
    </comment>
  </commentList>
</comments>
</file>

<file path=xl/sharedStrings.xml><?xml version="1.0" encoding="utf-8"?>
<sst xmlns="http://schemas.openxmlformats.org/spreadsheetml/2006/main" count="90" uniqueCount="55">
  <si>
    <t>Tabela progressiva do IR - Ano 2024</t>
  </si>
  <si>
    <t>De</t>
  </si>
  <si>
    <t>Até</t>
  </si>
  <si>
    <t>Alíquota</t>
  </si>
  <si>
    <t>Dedução</t>
  </si>
  <si>
    <t>Valor por dependente</t>
  </si>
  <si>
    <t>Valor do IR:</t>
  </si>
  <si>
    <t>Rendimentos tributáveis:</t>
  </si>
  <si>
    <t>Contribuição previdenciária:</t>
  </si>
  <si>
    <t>Número de dependentes:</t>
  </si>
  <si>
    <t>Dedução total de dependentes:</t>
  </si>
  <si>
    <t xml:space="preserve">Base de cálculo do IR: </t>
  </si>
  <si>
    <t>Valor da bolsa:</t>
  </si>
  <si>
    <t>Rendimentos tributáveis+bolsa:</t>
  </si>
  <si>
    <t>INSS bolsa:</t>
  </si>
  <si>
    <t>INSS Patronal:</t>
  </si>
  <si>
    <t>Simulador IR do contracheque (preencher somente as células azuis):</t>
  </si>
  <si>
    <t>Base de cálculo IR para o SIAFI:</t>
  </si>
  <si>
    <t>lançar a base de cálculo na dedução do SIAFI - DDF009</t>
  </si>
  <si>
    <t>Valor a ser lançado na retenção de IR da liquidação da bolsa - DDF009</t>
  </si>
  <si>
    <t>Valor Líquido:</t>
  </si>
  <si>
    <t>Medida Provisória 1.294 de 11 de abril de 2025</t>
  </si>
  <si>
    <t>Cálculo da retenção da bolsa de servidor (preencher somente o valor da bolsa)</t>
  </si>
  <si>
    <t>Tabela IR 2024</t>
  </si>
  <si>
    <t>A partir de 1º de maio/2025</t>
  </si>
  <si>
    <t>Tem que coincidir com o valor calculado no contracheque</t>
  </si>
  <si>
    <t>Revisão 7 - 13/05/2025</t>
  </si>
  <si>
    <t>Contribuição prev. considerada</t>
  </si>
  <si>
    <t>Tem que coincidir com o valor calculado no contracheque,</t>
  </si>
  <si>
    <t>podendo ocorrer diferença de um centavo devido a arredondamentos!</t>
  </si>
  <si>
    <t>Desconto simplificado</t>
  </si>
  <si>
    <t>Valor do IR (apenas para colaborar externo):</t>
  </si>
  <si>
    <t>Valor do IR (para servidores):</t>
  </si>
  <si>
    <t>Simulador IR do contracheque do servidor (preencher somente as células azuis):</t>
  </si>
  <si>
    <t>Líquido a receber:</t>
  </si>
  <si>
    <t xml:space="preserve">Referência: </t>
  </si>
  <si>
    <t>Rendimentos Tributáveis</t>
  </si>
  <si>
    <t>Até R$ 5.000,00</t>
  </si>
  <si>
    <t>Entre R$ 5.000,01 e R$ 7.350,00</t>
  </si>
  <si>
    <t>Cálculo do IR - 2026</t>
  </si>
  <si>
    <t>IR:</t>
  </si>
  <si>
    <t>Tabela IR 2026</t>
  </si>
  <si>
    <t>Para Rend. Tributáveis acima de R$ 7.350,00</t>
  </si>
  <si>
    <t>Cálculo da redução *</t>
  </si>
  <si>
    <t>*R$  978,62 - (0,133145 * Rendimentos Tributáveis)</t>
  </si>
  <si>
    <t>Acima de R$ 7.350,00 - Tabela I</t>
  </si>
  <si>
    <t xml:space="preserve">Tabela I -  progressiva do IR - Ano 2026 </t>
  </si>
  <si>
    <t>Cálculo do IR - 2026 - Exclusivo para a bolsa</t>
  </si>
  <si>
    <t>IR para bolsas:</t>
  </si>
  <si>
    <t>Revisão 13.2026.1 - 21/01/2026</t>
  </si>
  <si>
    <t>Data</t>
  </si>
  <si>
    <t>Versão</t>
  </si>
  <si>
    <t>Alteração</t>
  </si>
  <si>
    <t>13.2026.1</t>
  </si>
  <si>
    <t>Adequação da planilha paraa nova metodologia de cálculo do IR para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</si>
</sst>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  <font>
      <b/>
      <sz val="24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theme="6" tint="0.79998168889431442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theme="9" tint="0.79998168889431442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2" borderId="1" xfId="0" applyFill="1" applyBorder="1"/>
    <xf numFmtId="4" fontId="0" fillId="3" borderId="1" xfId="0" applyNumberFormat="1" applyFill="1" applyBorder="1"/>
    <xf numFmtId="0" fontId="0" fillId="3" borderId="1" xfId="0" applyFill="1" applyBorder="1"/>
    <xf numFmtId="0" fontId="0" fillId="5" borderId="0" xfId="0" applyFill="1"/>
    <xf numFmtId="0" fontId="2" fillId="5" borderId="0" xfId="0" applyFont="1" applyFill="1"/>
    <xf numFmtId="0" fontId="0" fillId="5" borderId="0" xfId="0" applyFill="1" applyAlignment="1">
      <alignment horizontal="center"/>
    </xf>
    <xf numFmtId="4" fontId="0" fillId="6" borderId="1" xfId="0" applyNumberFormat="1" applyFill="1" applyBorder="1"/>
    <xf numFmtId="1" fontId="0" fillId="6" borderId="1" xfId="0" applyNumberFormat="1" applyFill="1" applyBorder="1"/>
    <xf numFmtId="0" fontId="0" fillId="8" borderId="0" xfId="0" applyFill="1"/>
    <xf numFmtId="0" fontId="0" fillId="4" borderId="0" xfId="0" applyFill="1"/>
    <xf numFmtId="4" fontId="0" fillId="4" borderId="0" xfId="0" applyNumberFormat="1" applyFill="1"/>
    <xf numFmtId="164" fontId="0" fillId="0" borderId="0" xfId="0" applyNumberFormat="1"/>
    <xf numFmtId="0" fontId="5" fillId="0" borderId="0" xfId="0" applyFont="1"/>
    <xf numFmtId="0" fontId="7" fillId="0" borderId="0" xfId="0" applyFont="1"/>
    <xf numFmtId="4" fontId="0" fillId="7" borderId="1" xfId="0" applyNumberFormat="1" applyFill="1" applyBorder="1" applyProtection="1">
      <protection locked="0"/>
    </xf>
    <xf numFmtId="1" fontId="0" fillId="7" borderId="1" xfId="0" applyNumberFormat="1" applyFill="1" applyBorder="1" applyProtection="1">
      <protection locked="0"/>
    </xf>
    <xf numFmtId="2" fontId="0" fillId="5" borderId="0" xfId="0" applyNumberFormat="1" applyFill="1"/>
    <xf numFmtId="2" fontId="8" fillId="5" borderId="0" xfId="0" applyNumberFormat="1" applyFont="1" applyFill="1"/>
    <xf numFmtId="4" fontId="0" fillId="5" borderId="0" xfId="0" applyNumberFormat="1" applyFill="1"/>
    <xf numFmtId="0" fontId="5" fillId="5" borderId="0" xfId="0" applyFont="1" applyFill="1"/>
    <xf numFmtId="4" fontId="5" fillId="6" borderId="1" xfId="0" applyNumberFormat="1" applyFont="1" applyFill="1" applyBorder="1"/>
    <xf numFmtId="0" fontId="2" fillId="4" borderId="0" xfId="0" applyFont="1" applyFill="1"/>
    <xf numFmtId="0" fontId="10" fillId="5" borderId="0" xfId="0" applyFont="1" applyFill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11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2" fillId="0" borderId="0" xfId="0" applyFont="1"/>
    <xf numFmtId="0" fontId="0" fillId="15" borderId="0" xfId="0" applyFill="1"/>
    <xf numFmtId="14" fontId="0" fillId="11" borderId="1" xfId="0" applyNumberForma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5" borderId="0" xfId="0" applyFill="1" applyAlignment="1">
      <alignment horizontal="left"/>
    </xf>
    <xf numFmtId="0" fontId="0" fillId="5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0" fontId="5" fillId="4" borderId="6" xfId="0" applyFont="1" applyFill="1" applyBorder="1" applyAlignment="1">
      <alignment horizontal="center"/>
    </xf>
    <xf numFmtId="4" fontId="13" fillId="0" borderId="1" xfId="0" applyNumberFormat="1" applyFont="1" applyBorder="1" applyAlignment="1">
      <alignment horizontal="center" vertical="center"/>
    </xf>
    <xf numFmtId="4" fontId="13" fillId="14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6" xfId="0" applyFont="1" applyBorder="1" applyAlignment="1">
      <alignment horizontal="left" vertical="center"/>
    </xf>
    <xf numFmtId="0" fontId="0" fillId="13" borderId="1" xfId="0" applyFill="1" applyBorder="1" applyAlignment="1">
      <alignment horizontal="center"/>
    </xf>
    <xf numFmtId="0" fontId="5" fillId="10" borderId="2" xfId="0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5" fillId="10" borderId="4" xfId="0" applyFont="1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1" fillId="15" borderId="0" xfId="0" applyFont="1" applyFill="1" applyAlignment="1">
      <alignment horizontal="center"/>
    </xf>
    <xf numFmtId="0" fontId="9" fillId="4" borderId="5" xfId="0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0" fontId="9" fillId="4" borderId="6" xfId="0" applyFon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11" fillId="5" borderId="0" xfId="0" applyFont="1" applyFill="1" applyAlignment="1">
      <alignment horizontal="right"/>
    </xf>
    <xf numFmtId="0" fontId="11" fillId="5" borderId="6" xfId="0" applyFont="1" applyFill="1" applyBorder="1" applyAlignment="1">
      <alignment horizontal="right"/>
    </xf>
    <xf numFmtId="0" fontId="6" fillId="9" borderId="1" xfId="0" applyFont="1" applyFill="1" applyBorder="1" applyAlignment="1">
      <alignment horizontal="center"/>
    </xf>
    <xf numFmtId="0" fontId="12" fillId="10" borderId="0" xfId="0" applyFont="1" applyFill="1" applyAlignment="1" applyProtection="1">
      <alignment horizontal="left"/>
      <protection locked="0"/>
    </xf>
    <xf numFmtId="0" fontId="9" fillId="5" borderId="0" xfId="0" applyFont="1" applyFill="1" applyAlignment="1">
      <alignment horizontal="left"/>
    </xf>
    <xf numFmtId="0" fontId="5" fillId="5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8</xdr:row>
      <xdr:rowOff>114300</xdr:rowOff>
    </xdr:from>
    <xdr:to>
      <xdr:col>11</xdr:col>
      <xdr:colOff>0</xdr:colOff>
      <xdr:row>8</xdr:row>
      <xdr:rowOff>114300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id="{D8FEA904-549A-6FAB-1B57-2E6699B0DDAE}"/>
            </a:ext>
          </a:extLst>
        </xdr:cNvPr>
        <xdr:cNvCxnSpPr/>
      </xdr:nvCxnSpPr>
      <xdr:spPr>
        <a:xfrm>
          <a:off x="6438900" y="1638300"/>
          <a:ext cx="5810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28575</xdr:colOff>
      <xdr:row>19</xdr:row>
      <xdr:rowOff>114300</xdr:rowOff>
    </xdr:from>
    <xdr:to>
      <xdr:col>11</xdr:col>
      <xdr:colOff>9525</xdr:colOff>
      <xdr:row>19</xdr:row>
      <xdr:rowOff>123825</xdr:rowOff>
    </xdr:to>
    <xdr:cxnSp macro="">
      <xdr:nvCxnSpPr>
        <xdr:cNvPr id="4" name="Conector de Seta Reta 3">
          <a:extLst>
            <a:ext uri="{FF2B5EF4-FFF2-40B4-BE49-F238E27FC236}">
              <a16:creationId xmlns:a16="http://schemas.microsoft.com/office/drawing/2014/main" id="{99070E7A-9C6B-4C5F-A919-78FDD67B6F47}"/>
            </a:ext>
          </a:extLst>
        </xdr:cNvPr>
        <xdr:cNvCxnSpPr/>
      </xdr:nvCxnSpPr>
      <xdr:spPr>
        <a:xfrm>
          <a:off x="5486400" y="1638300"/>
          <a:ext cx="590550" cy="95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171450</xdr:colOff>
      <xdr:row>10</xdr:row>
      <xdr:rowOff>19050</xdr:rowOff>
    </xdr:from>
    <xdr:to>
      <xdr:col>4</xdr:col>
      <xdr:colOff>381000</xdr:colOff>
      <xdr:row>25</xdr:row>
      <xdr:rowOff>6121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B598AFB8-16C7-DC45-162A-844686308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450" y="1924050"/>
          <a:ext cx="3295650" cy="2854096"/>
        </a:xfrm>
        <a:prstGeom prst="rect">
          <a:avLst/>
        </a:prstGeom>
      </xdr:spPr>
    </xdr:pic>
    <xdr:clientData/>
  </xdr:twoCellAnchor>
  <xdr:twoCellAnchor editAs="oneCell">
    <xdr:from>
      <xdr:col>0</xdr:col>
      <xdr:colOff>504826</xdr:colOff>
      <xdr:row>26</xdr:row>
      <xdr:rowOff>52828</xdr:rowOff>
    </xdr:from>
    <xdr:to>
      <xdr:col>8</xdr:col>
      <xdr:colOff>57151</xdr:colOff>
      <xdr:row>27</xdr:row>
      <xdr:rowOff>47598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F2789A3-AAF5-4D7C-580A-620B1F2D84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4826" y="4815328"/>
          <a:ext cx="4019550" cy="18527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28575</xdr:colOff>
      <xdr:row>8</xdr:row>
      <xdr:rowOff>114300</xdr:rowOff>
    </xdr:from>
    <xdr:to>
      <xdr:col>11</xdr:col>
      <xdr:colOff>0</xdr:colOff>
      <xdr:row>8</xdr:row>
      <xdr:rowOff>114300</xdr:rowOff>
    </xdr:to>
    <xdr:cxnSp macro="">
      <xdr:nvCxnSpPr>
        <xdr:cNvPr id="2" name="Conector de Seta Reta 1">
          <a:extLst>
            <a:ext uri="{FF2B5EF4-FFF2-40B4-BE49-F238E27FC236}">
              <a16:creationId xmlns:a16="http://schemas.microsoft.com/office/drawing/2014/main" id="{D87EE364-0710-4178-9A2B-4EB6B9D036C1}"/>
            </a:ext>
          </a:extLst>
        </xdr:cNvPr>
        <xdr:cNvCxnSpPr/>
      </xdr:nvCxnSpPr>
      <xdr:spPr>
        <a:xfrm>
          <a:off x="6438900" y="1638300"/>
          <a:ext cx="58102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781050</xdr:colOff>
      <xdr:row>19</xdr:row>
      <xdr:rowOff>123825</xdr:rowOff>
    </xdr:from>
    <xdr:to>
      <xdr:col>11</xdr:col>
      <xdr:colOff>9525</xdr:colOff>
      <xdr:row>19</xdr:row>
      <xdr:rowOff>123825</xdr:rowOff>
    </xdr:to>
    <xdr:cxnSp macro="">
      <xdr:nvCxnSpPr>
        <xdr:cNvPr id="3" name="Conector de Seta Reta 2">
          <a:extLst>
            <a:ext uri="{FF2B5EF4-FFF2-40B4-BE49-F238E27FC236}">
              <a16:creationId xmlns:a16="http://schemas.microsoft.com/office/drawing/2014/main" id="{07B3AA0D-E429-4B66-91AC-90C07817F79E}"/>
            </a:ext>
          </a:extLst>
        </xdr:cNvPr>
        <xdr:cNvCxnSpPr/>
      </xdr:nvCxnSpPr>
      <xdr:spPr>
        <a:xfrm>
          <a:off x="6276975" y="3752850"/>
          <a:ext cx="752475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22</xdr:row>
      <xdr:rowOff>5203</xdr:rowOff>
    </xdr:from>
    <xdr:to>
      <xdr:col>7</xdr:col>
      <xdr:colOff>161925</xdr:colOff>
      <xdr:row>22</xdr:row>
      <xdr:rowOff>190473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5711C7B4-E3FE-4E55-B0A2-CA7FEC6615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253353"/>
          <a:ext cx="4019550" cy="1852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4</xdr:col>
      <xdr:colOff>584904</xdr:colOff>
      <xdr:row>19</xdr:row>
      <xdr:rowOff>28421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7C2FB76-044C-4356-860B-8452BEA107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476500"/>
          <a:ext cx="3671004" cy="1180946"/>
        </a:xfrm>
        <a:prstGeom prst="rect">
          <a:avLst/>
        </a:prstGeom>
      </xdr:spPr>
    </xdr:pic>
    <xdr:clientData/>
  </xdr:twoCellAnchor>
  <xdr:twoCellAnchor>
    <xdr:from>
      <xdr:col>11</xdr:col>
      <xdr:colOff>114300</xdr:colOff>
      <xdr:row>20</xdr:row>
      <xdr:rowOff>114300</xdr:rowOff>
    </xdr:from>
    <xdr:to>
      <xdr:col>11</xdr:col>
      <xdr:colOff>723900</xdr:colOff>
      <xdr:row>20</xdr:row>
      <xdr:rowOff>114300</xdr:rowOff>
    </xdr:to>
    <xdr:cxnSp macro="">
      <xdr:nvCxnSpPr>
        <xdr:cNvPr id="8" name="Conector de Seta Reta 7">
          <a:extLst>
            <a:ext uri="{FF2B5EF4-FFF2-40B4-BE49-F238E27FC236}">
              <a16:creationId xmlns:a16="http://schemas.microsoft.com/office/drawing/2014/main" id="{A82487BC-7945-4639-85D8-60BD80493A9F}"/>
            </a:ext>
          </a:extLst>
        </xdr:cNvPr>
        <xdr:cNvCxnSpPr/>
      </xdr:nvCxnSpPr>
      <xdr:spPr>
        <a:xfrm>
          <a:off x="7134225" y="3933825"/>
          <a:ext cx="609600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304800</xdr:colOff>
      <xdr:row>4</xdr:row>
      <xdr:rowOff>133350</xdr:rowOff>
    </xdr:from>
    <xdr:to>
      <xdr:col>20</xdr:col>
      <xdr:colOff>781050</xdr:colOff>
      <xdr:row>5</xdr:row>
      <xdr:rowOff>85725</xdr:rowOff>
    </xdr:to>
    <xdr:sp macro="" textlink="">
      <xdr:nvSpPr>
        <xdr:cNvPr id="4" name="Seta: para a Direita 3">
          <a:extLst>
            <a:ext uri="{FF2B5EF4-FFF2-40B4-BE49-F238E27FC236}">
              <a16:creationId xmlns:a16="http://schemas.microsoft.com/office/drawing/2014/main" id="{AF3BC5B9-F8E5-862B-2CDC-8375AACB9523}"/>
            </a:ext>
          </a:extLst>
        </xdr:cNvPr>
        <xdr:cNvSpPr/>
      </xdr:nvSpPr>
      <xdr:spPr>
        <a:xfrm>
          <a:off x="13087350" y="1095375"/>
          <a:ext cx="476250" cy="142875"/>
        </a:xfrm>
        <a:prstGeom prst="rightArrow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20</xdr:col>
      <xdr:colOff>342899</xdr:colOff>
      <xdr:row>15</xdr:row>
      <xdr:rowOff>123825</xdr:rowOff>
    </xdr:from>
    <xdr:to>
      <xdr:col>20</xdr:col>
      <xdr:colOff>847724</xdr:colOff>
      <xdr:row>16</xdr:row>
      <xdr:rowOff>38100</xdr:rowOff>
    </xdr:to>
    <xdr:sp macro="" textlink="">
      <xdr:nvSpPr>
        <xdr:cNvPr id="7" name="Seta: para a Direita 6">
          <a:extLst>
            <a:ext uri="{FF2B5EF4-FFF2-40B4-BE49-F238E27FC236}">
              <a16:creationId xmlns:a16="http://schemas.microsoft.com/office/drawing/2014/main" id="{ED83B102-6B5D-4D8F-A380-D5EC4AB45BEC}"/>
            </a:ext>
          </a:extLst>
        </xdr:cNvPr>
        <xdr:cNvSpPr/>
      </xdr:nvSpPr>
      <xdr:spPr>
        <a:xfrm>
          <a:off x="13125449" y="3028950"/>
          <a:ext cx="504825" cy="104775"/>
        </a:xfrm>
        <a:prstGeom prst="rightArrow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2"/>
  <sheetViews>
    <sheetView showGridLines="0" workbookViewId="0">
      <selection activeCell="J1" sqref="J1:O2"/>
    </sheetView>
  </sheetViews>
  <sheetFormatPr defaultRowHeight="15" x14ac:dyDescent="0.25"/>
  <cols>
    <col min="1" max="4" width="11.5703125" customWidth="1"/>
    <col min="6" max="6" width="0.140625" customWidth="1"/>
    <col min="7" max="7" width="2.28515625" customWidth="1"/>
    <col min="9" max="9" width="15.42578125" customWidth="1"/>
    <col min="10" max="10" width="13.7109375" customWidth="1"/>
    <col min="12" max="12" width="11.140625" customWidth="1"/>
    <col min="13" max="13" width="10.28515625" customWidth="1"/>
    <col min="19" max="19" width="2.28515625" customWidth="1"/>
    <col min="21" max="21" width="13.7109375" customWidth="1"/>
  </cols>
  <sheetData>
    <row r="1" spans="1:21" x14ac:dyDescent="0.25">
      <c r="A1" s="35" t="s">
        <v>0</v>
      </c>
      <c r="B1" s="36"/>
      <c r="C1" s="36"/>
      <c r="D1" s="37"/>
      <c r="E1" s="43" t="s">
        <v>26</v>
      </c>
      <c r="F1" s="44"/>
      <c r="G1" s="44"/>
      <c r="H1" s="44"/>
      <c r="I1" s="45"/>
      <c r="J1" s="42" t="s">
        <v>23</v>
      </c>
      <c r="K1" s="42"/>
      <c r="L1" s="42"/>
      <c r="M1" s="42"/>
      <c r="N1" s="42"/>
      <c r="O1" s="42"/>
    </row>
    <row r="2" spans="1:21" x14ac:dyDescent="0.25">
      <c r="E2" s="10"/>
      <c r="J2" s="42"/>
      <c r="K2" s="42"/>
      <c r="L2" s="42"/>
      <c r="M2" s="42"/>
      <c r="N2" s="42"/>
      <c r="O2" s="42"/>
    </row>
    <row r="3" spans="1:21" x14ac:dyDescent="0.25">
      <c r="A3" s="1" t="s">
        <v>1</v>
      </c>
      <c r="B3" s="1" t="s">
        <v>2</v>
      </c>
      <c r="C3" s="1" t="s">
        <v>3</v>
      </c>
      <c r="D3" s="1" t="s">
        <v>4</v>
      </c>
      <c r="E3" s="10"/>
      <c r="G3" s="9"/>
      <c r="H3" s="41" t="s">
        <v>16</v>
      </c>
      <c r="I3" s="41"/>
      <c r="J3" s="41"/>
      <c r="K3" s="41"/>
      <c r="L3" s="41"/>
      <c r="M3" s="41"/>
      <c r="N3" s="41"/>
      <c r="O3" s="41"/>
      <c r="P3" s="41"/>
      <c r="Q3" s="41"/>
      <c r="R3" s="41"/>
      <c r="S3" s="9"/>
    </row>
    <row r="4" spans="1:21" x14ac:dyDescent="0.25">
      <c r="A4" s="2"/>
      <c r="B4" s="2">
        <v>2259.1999999999998</v>
      </c>
      <c r="C4" s="3">
        <v>0</v>
      </c>
      <c r="D4" s="2">
        <v>0</v>
      </c>
      <c r="E4" s="11"/>
      <c r="G4" s="9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9"/>
    </row>
    <row r="5" spans="1:21" x14ac:dyDescent="0.25">
      <c r="A5" s="2">
        <v>2259.21</v>
      </c>
      <c r="B5" s="2">
        <v>2826.65</v>
      </c>
      <c r="C5" s="3">
        <v>7.5</v>
      </c>
      <c r="D5" s="2">
        <v>169.44</v>
      </c>
      <c r="E5" s="11"/>
      <c r="G5" s="9"/>
      <c r="H5" s="4"/>
      <c r="I5" s="38" t="s">
        <v>7</v>
      </c>
      <c r="J5" s="38"/>
      <c r="K5" s="4"/>
      <c r="L5" s="15">
        <v>0</v>
      </c>
      <c r="M5" s="4"/>
      <c r="N5" s="4"/>
      <c r="O5" s="4"/>
      <c r="P5" s="4"/>
      <c r="Q5" s="4"/>
      <c r="R5" s="4"/>
      <c r="S5" s="9"/>
    </row>
    <row r="6" spans="1:21" x14ac:dyDescent="0.25">
      <c r="A6" s="2">
        <v>2826.66</v>
      </c>
      <c r="B6" s="2">
        <v>3751.05</v>
      </c>
      <c r="C6" s="3">
        <v>15</v>
      </c>
      <c r="D6" s="2">
        <v>381.44</v>
      </c>
      <c r="E6" s="11"/>
      <c r="G6" s="9"/>
      <c r="H6" s="4"/>
      <c r="I6" s="4" t="s">
        <v>8</v>
      </c>
      <c r="J6" s="4"/>
      <c r="K6" s="4"/>
      <c r="L6" s="15">
        <v>0</v>
      </c>
      <c r="M6" s="4"/>
      <c r="N6" s="4"/>
      <c r="O6" s="4"/>
      <c r="P6" s="4"/>
      <c r="Q6" s="4"/>
      <c r="R6" s="4"/>
      <c r="S6" s="9"/>
    </row>
    <row r="7" spans="1:21" x14ac:dyDescent="0.25">
      <c r="A7" s="2">
        <v>3751.06</v>
      </c>
      <c r="B7" s="2">
        <v>4664.68</v>
      </c>
      <c r="C7" s="3">
        <v>22.5</v>
      </c>
      <c r="D7" s="2">
        <v>662.77</v>
      </c>
      <c r="E7" s="11"/>
      <c r="G7" s="9"/>
      <c r="H7" s="4"/>
      <c r="I7" s="4" t="s">
        <v>9</v>
      </c>
      <c r="J7" s="4"/>
      <c r="K7" s="4"/>
      <c r="L7" s="16">
        <v>0</v>
      </c>
      <c r="M7" s="4" t="s">
        <v>10</v>
      </c>
      <c r="N7" s="4"/>
      <c r="O7" s="4"/>
      <c r="P7" s="7">
        <f>L7*D10</f>
        <v>0</v>
      </c>
      <c r="Q7" s="4"/>
      <c r="R7" s="4"/>
      <c r="S7" s="9"/>
    </row>
    <row r="8" spans="1:21" x14ac:dyDescent="0.25">
      <c r="A8" s="2">
        <v>4664.68</v>
      </c>
      <c r="B8" s="2"/>
      <c r="C8" s="3">
        <v>27.5</v>
      </c>
      <c r="D8" s="2">
        <v>896</v>
      </c>
      <c r="E8" s="11"/>
      <c r="G8" s="9"/>
      <c r="H8" s="4"/>
      <c r="I8" s="4" t="s">
        <v>11</v>
      </c>
      <c r="J8" s="4"/>
      <c r="K8" s="4"/>
      <c r="L8" s="7">
        <f>L5-L6-P7</f>
        <v>0</v>
      </c>
      <c r="M8" s="4"/>
      <c r="N8" s="4"/>
      <c r="O8" s="4"/>
      <c r="P8" s="4"/>
      <c r="Q8" s="4"/>
      <c r="R8" s="4"/>
      <c r="S8" s="9"/>
    </row>
    <row r="9" spans="1:21" x14ac:dyDescent="0.25">
      <c r="E9" s="10"/>
      <c r="G9" s="9"/>
      <c r="H9" s="4"/>
      <c r="I9" s="4" t="s">
        <v>6</v>
      </c>
      <c r="J9" s="7">
        <f>IF(L8&lt;=$B$4,0,IF(AND(L8&gt;=$A$5,L8&lt;=$B$5),TRUNC(L8*$C$5/100-$D$5,2),IF(AND(L8&gt;=$A$6,L8&lt;=$B$6),TRUNC(L8*$C$6/100-$D$6,2),IF(AND(L8&gt;=$A$7,L8&lt;=$B$7),TRUNC(L8*$C$7/100-$D$7,2),IF(L8&gt;=$A$8,TRUNC(L8*$C$8/100-$D$8,2),"")))))</f>
        <v>0</v>
      </c>
      <c r="K9" s="4"/>
      <c r="L9" s="5" t="s">
        <v>25</v>
      </c>
      <c r="M9" s="4"/>
      <c r="N9" s="4"/>
      <c r="O9" s="4"/>
      <c r="P9" s="4"/>
      <c r="Q9" s="4"/>
      <c r="R9" s="4"/>
      <c r="S9" s="9"/>
      <c r="U9" s="12"/>
    </row>
    <row r="10" spans="1:21" x14ac:dyDescent="0.25">
      <c r="A10" s="40" t="s">
        <v>5</v>
      </c>
      <c r="B10" s="40"/>
      <c r="C10" s="40"/>
      <c r="D10" s="2">
        <v>189.59</v>
      </c>
      <c r="E10" s="11"/>
      <c r="G10" s="9"/>
      <c r="H10" s="4"/>
      <c r="I10" s="4" t="s">
        <v>20</v>
      </c>
      <c r="J10" s="7">
        <f>L5-L6-J9</f>
        <v>0</v>
      </c>
      <c r="K10" s="4"/>
      <c r="L10" s="5"/>
      <c r="M10" s="4"/>
      <c r="N10" s="4"/>
      <c r="O10" s="4"/>
      <c r="P10" s="4"/>
      <c r="Q10" s="4"/>
      <c r="R10" s="4"/>
      <c r="S10" s="9"/>
    </row>
    <row r="11" spans="1:21" x14ac:dyDescent="0.25">
      <c r="G11" s="9"/>
      <c r="H11" s="41" t="s">
        <v>22</v>
      </c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9"/>
    </row>
    <row r="12" spans="1:21" x14ac:dyDescent="0.25">
      <c r="G12" s="9"/>
      <c r="H12" s="4"/>
      <c r="I12" s="6"/>
      <c r="J12" s="6"/>
      <c r="K12" s="6"/>
      <c r="L12" s="6"/>
      <c r="M12" s="6"/>
      <c r="N12" s="6"/>
      <c r="O12" s="6"/>
      <c r="P12" s="6"/>
      <c r="Q12" s="6"/>
      <c r="R12" s="4"/>
      <c r="S12" s="9"/>
    </row>
    <row r="13" spans="1:21" x14ac:dyDescent="0.25">
      <c r="G13" s="9"/>
      <c r="H13" s="4"/>
      <c r="I13" s="4" t="s">
        <v>12</v>
      </c>
      <c r="J13" s="15">
        <v>0</v>
      </c>
      <c r="K13" s="4"/>
      <c r="L13" s="4" t="s">
        <v>14</v>
      </c>
      <c r="M13" s="7">
        <f>TRUNC(J13*0.11,2)</f>
        <v>0</v>
      </c>
      <c r="N13" s="18" t="str">
        <f>IF(AND(TRUNC(J13*0.11,2)+L6&lt;564.8,J13&lt;&gt;"",J13&gt;0),564.8,IF(AND(TRUNC(J13*0.11,2)+L6&gt;=564.8,J13&lt;&gt;"",J13&gt;0),TRUNC(J13*0.11,2)+L6,""))</f>
        <v/>
      </c>
      <c r="O13" s="4" t="s">
        <v>15</v>
      </c>
      <c r="P13" s="4"/>
      <c r="Q13" s="7">
        <f>TRUNC(J13*0.2,2)</f>
        <v>0</v>
      </c>
      <c r="R13" s="4"/>
      <c r="S13" s="9"/>
    </row>
    <row r="14" spans="1:21" x14ac:dyDescent="0.25">
      <c r="G14" s="9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9"/>
    </row>
    <row r="15" spans="1:21" x14ac:dyDescent="0.25">
      <c r="G15" s="9"/>
      <c r="H15" s="4"/>
      <c r="I15" s="39" t="s">
        <v>13</v>
      </c>
      <c r="J15" s="39"/>
      <c r="K15" s="4"/>
      <c r="L15" s="7">
        <f>L5+J13</f>
        <v>0</v>
      </c>
      <c r="M15" s="4"/>
      <c r="N15" s="4"/>
      <c r="O15" s="4"/>
      <c r="P15" s="4"/>
      <c r="Q15" s="4"/>
      <c r="R15" s="4"/>
      <c r="S15" s="9"/>
    </row>
    <row r="16" spans="1:21" x14ac:dyDescent="0.25">
      <c r="G16" s="9"/>
      <c r="H16" s="4"/>
      <c r="I16" s="38" t="s">
        <v>8</v>
      </c>
      <c r="J16" s="38"/>
      <c r="K16" s="4"/>
      <c r="L16" s="7" t="str">
        <f>N13</f>
        <v/>
      </c>
      <c r="M16" s="4"/>
      <c r="N16" s="4"/>
      <c r="O16" s="4"/>
      <c r="P16" s="4"/>
      <c r="Q16" s="4"/>
      <c r="R16" s="4"/>
      <c r="S16" s="9"/>
    </row>
    <row r="17" spans="7:19" x14ac:dyDescent="0.25">
      <c r="G17" s="9"/>
      <c r="H17" s="4"/>
      <c r="I17" s="4" t="s">
        <v>9</v>
      </c>
      <c r="J17" s="4"/>
      <c r="K17" s="4"/>
      <c r="L17" s="8">
        <f>L7</f>
        <v>0</v>
      </c>
      <c r="M17" s="4" t="s">
        <v>10</v>
      </c>
      <c r="N17" s="4"/>
      <c r="O17" s="4"/>
      <c r="P17" s="7">
        <f>L17*D10</f>
        <v>0</v>
      </c>
      <c r="Q17" s="4"/>
      <c r="R17" s="4"/>
      <c r="S17" s="9"/>
    </row>
    <row r="18" spans="7:19" x14ac:dyDescent="0.25">
      <c r="G18" s="9"/>
      <c r="H18" s="4"/>
      <c r="I18" s="4" t="s">
        <v>11</v>
      </c>
      <c r="J18" s="4"/>
      <c r="K18" s="4"/>
      <c r="L18" s="7" t="str">
        <f>IF(AND(J13&lt;&gt;"",J13&lt;&gt;0),L15-L16-P17,"")</f>
        <v/>
      </c>
      <c r="M18" s="17"/>
      <c r="N18" s="19"/>
      <c r="O18" s="19"/>
      <c r="P18" s="4"/>
      <c r="Q18" s="4"/>
      <c r="R18" s="4"/>
      <c r="S18" s="9"/>
    </row>
    <row r="19" spans="7:19" ht="15.75" customHeight="1" x14ac:dyDescent="0.25">
      <c r="G19" s="9"/>
      <c r="H19" s="4"/>
      <c r="I19" s="4" t="s">
        <v>17</v>
      </c>
      <c r="J19" s="4"/>
      <c r="K19" s="4"/>
      <c r="L19" s="7">
        <f>J13-M13</f>
        <v>0</v>
      </c>
      <c r="M19" s="5" t="s">
        <v>18</v>
      </c>
      <c r="N19" s="4"/>
      <c r="O19" s="4"/>
      <c r="P19" s="4"/>
      <c r="Q19" s="4"/>
      <c r="R19" s="4"/>
      <c r="S19" s="9"/>
    </row>
    <row r="20" spans="7:19" x14ac:dyDescent="0.25">
      <c r="G20" s="9"/>
      <c r="H20" s="4"/>
      <c r="I20" s="4" t="s">
        <v>6</v>
      </c>
      <c r="J20" s="7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-J9,"")</f>
        <v/>
      </c>
      <c r="K20" s="4"/>
      <c r="L20" s="5" t="s">
        <v>19</v>
      </c>
      <c r="M20" s="4"/>
      <c r="N20" s="4"/>
      <c r="O20" s="4"/>
      <c r="P20" s="4"/>
      <c r="Q20" s="4"/>
      <c r="R20" s="4"/>
      <c r="S20" s="9"/>
    </row>
    <row r="21" spans="7:19" x14ac:dyDescent="0.25">
      <c r="G21" s="9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9"/>
    </row>
    <row r="22" spans="7:19" x14ac:dyDescent="0.25"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</row>
  </sheetData>
  <mergeCells count="9">
    <mergeCell ref="A1:D1"/>
    <mergeCell ref="I5:J5"/>
    <mergeCell ref="I15:J15"/>
    <mergeCell ref="I16:J16"/>
    <mergeCell ref="A10:C10"/>
    <mergeCell ref="H3:R3"/>
    <mergeCell ref="H11:R11"/>
    <mergeCell ref="J1:O2"/>
    <mergeCell ref="E1:I1"/>
  </mergeCells>
  <pageMargins left="0.19685039370078741" right="0.19685039370078741" top="0.31496062992125984" bottom="0.78740157480314965" header="0.31496062992125984" footer="0.31496062992125984"/>
  <pageSetup paperSize="9" scale="80" orientation="landscape" horizontalDpi="4294967293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24"/>
  <sheetViews>
    <sheetView showGridLines="0" tabSelected="1" workbookViewId="0">
      <selection activeCell="L15" sqref="L15"/>
    </sheetView>
  </sheetViews>
  <sheetFormatPr defaultRowHeight="15" x14ac:dyDescent="0.25"/>
  <cols>
    <col min="1" max="4" width="11.5703125" customWidth="1"/>
    <col min="6" max="6" width="0.140625" customWidth="1"/>
    <col min="7" max="7" width="2.28515625" customWidth="1"/>
    <col min="8" max="8" width="8.5703125" customWidth="1"/>
    <col min="9" max="9" width="15.42578125" customWidth="1"/>
    <col min="10" max="10" width="13.7109375" customWidth="1"/>
    <col min="11" max="11" width="10.28515625" customWidth="1"/>
    <col min="12" max="12" width="11.140625" customWidth="1"/>
    <col min="13" max="13" width="10.28515625" customWidth="1"/>
    <col min="16" max="16" width="10.7109375" customWidth="1"/>
    <col min="18" max="18" width="14.85546875" customWidth="1"/>
    <col min="19" max="19" width="2.28515625" customWidth="1"/>
    <col min="21" max="21" width="13.7109375" customWidth="1"/>
    <col min="22" max="22" width="15" customWidth="1"/>
    <col min="23" max="23" width="31.7109375" customWidth="1"/>
    <col min="24" max="24" width="30.42578125" customWidth="1"/>
  </cols>
  <sheetData>
    <row r="1" spans="1:24" x14ac:dyDescent="0.25">
      <c r="A1" s="35" t="s">
        <v>46</v>
      </c>
      <c r="B1" s="36"/>
      <c r="C1" s="36"/>
      <c r="D1" s="37"/>
      <c r="E1" s="58" t="s">
        <v>49</v>
      </c>
      <c r="F1" s="59"/>
      <c r="G1" s="59"/>
      <c r="H1" s="59"/>
      <c r="I1" s="60"/>
      <c r="J1" s="64" t="s">
        <v>41</v>
      </c>
      <c r="K1" s="64"/>
      <c r="L1" s="64"/>
      <c r="M1" s="64"/>
      <c r="N1" s="64"/>
      <c r="O1" s="64"/>
    </row>
    <row r="2" spans="1:24" x14ac:dyDescent="0.25">
      <c r="A2" s="50" t="s">
        <v>42</v>
      </c>
      <c r="B2" s="50"/>
      <c r="C2" s="50"/>
      <c r="D2" s="50"/>
      <c r="E2" s="10"/>
      <c r="J2" s="64"/>
      <c r="K2" s="64"/>
      <c r="L2" s="64"/>
      <c r="M2" s="64"/>
      <c r="N2" s="64"/>
      <c r="O2" s="64"/>
      <c r="V2" s="35" t="s">
        <v>39</v>
      </c>
      <c r="W2" s="36"/>
      <c r="X2" s="37"/>
    </row>
    <row r="3" spans="1:24" x14ac:dyDescent="0.25">
      <c r="A3" s="1" t="s">
        <v>1</v>
      </c>
      <c r="B3" s="1" t="s">
        <v>2</v>
      </c>
      <c r="C3" s="1" t="s">
        <v>3</v>
      </c>
      <c r="D3" s="1" t="s">
        <v>4</v>
      </c>
      <c r="E3" s="10"/>
      <c r="G3" s="31"/>
      <c r="H3" s="57" t="s">
        <v>33</v>
      </c>
      <c r="I3" s="57"/>
      <c r="J3" s="57"/>
      <c r="K3" s="57"/>
      <c r="L3" s="57"/>
      <c r="M3" s="57"/>
      <c r="N3" s="57"/>
      <c r="O3" s="57"/>
      <c r="P3" s="57"/>
      <c r="Q3" s="57"/>
      <c r="R3" s="57"/>
      <c r="S3" s="31"/>
      <c r="V3" s="54" t="s">
        <v>36</v>
      </c>
      <c r="W3" s="55"/>
      <c r="X3" s="56"/>
    </row>
    <row r="4" spans="1:24" ht="18.75" customHeight="1" x14ac:dyDescent="0.25">
      <c r="A4" s="2"/>
      <c r="B4" s="2">
        <v>2428.8000000000002</v>
      </c>
      <c r="C4" s="3">
        <v>0</v>
      </c>
      <c r="D4" s="2">
        <v>0</v>
      </c>
      <c r="E4" s="11"/>
      <c r="G4" s="31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31"/>
      <c r="V4" s="27" t="s">
        <v>37</v>
      </c>
      <c r="W4" s="28" t="s">
        <v>38</v>
      </c>
      <c r="X4" s="29" t="s">
        <v>45</v>
      </c>
    </row>
    <row r="5" spans="1:24" x14ac:dyDescent="0.25">
      <c r="A5" s="2">
        <v>2428.81</v>
      </c>
      <c r="B5" s="2">
        <v>2826.65</v>
      </c>
      <c r="C5" s="3">
        <v>7.5</v>
      </c>
      <c r="D5" s="2">
        <v>182.16</v>
      </c>
      <c r="E5" s="11"/>
      <c r="G5" s="31"/>
      <c r="H5" s="4"/>
      <c r="I5" s="38" t="s">
        <v>7</v>
      </c>
      <c r="J5" s="38"/>
      <c r="K5" s="4"/>
      <c r="L5" s="15">
        <v>0</v>
      </c>
      <c r="M5" s="4"/>
      <c r="N5" s="4"/>
      <c r="O5" s="4"/>
      <c r="P5" s="4"/>
      <c r="Q5" s="4"/>
      <c r="R5" s="4"/>
      <c r="S5" s="31"/>
      <c r="U5" s="48" t="s">
        <v>40</v>
      </c>
      <c r="V5" s="46">
        <v>0</v>
      </c>
      <c r="W5" s="46" t="e">
        <f>$X$5-$W$8</f>
        <v>#VALUE!</v>
      </c>
      <c r="X5" s="46" t="e">
        <f>IF(L8&lt;=$B$4,0,IF(AND(L8&gt;=$A$5,L8&lt;=$B$5),TRUNC(L8*$C$5/100-$D$5,2),IF(AND(L8&gt;=$A$6,L8&lt;=$B$6),TRUNC(L8*$C$6/100-$D$6,2),IF(AND(L8&gt;=$A$7,L8&lt;=$B$7),TRUNC(L8*$C$7/100-$D$7,2),IF(L8&gt;=$A$8,TRUNC(L8*$C$8/100-$D$8,2),"")))))</f>
        <v>#VALUE!</v>
      </c>
    </row>
    <row r="6" spans="1:24" x14ac:dyDescent="0.25">
      <c r="A6" s="2">
        <v>2826.66</v>
      </c>
      <c r="B6" s="2">
        <v>3751.05</v>
      </c>
      <c r="C6" s="3">
        <v>15</v>
      </c>
      <c r="D6" s="2">
        <v>394.16</v>
      </c>
      <c r="E6" s="11"/>
      <c r="G6" s="31"/>
      <c r="H6" s="4"/>
      <c r="I6" s="4" t="s">
        <v>8</v>
      </c>
      <c r="J6" s="4"/>
      <c r="K6" s="4"/>
      <c r="L6" s="15">
        <v>0</v>
      </c>
      <c r="M6" s="4"/>
      <c r="N6" s="39" t="s">
        <v>27</v>
      </c>
      <c r="O6" s="39"/>
      <c r="P6" s="61"/>
      <c r="Q6" s="7">
        <f>IF(L6+P7&lt;C11,C11,L6+P7)</f>
        <v>607.20000000000005</v>
      </c>
      <c r="R6" s="4"/>
      <c r="S6" s="31"/>
      <c r="U6" s="48"/>
      <c r="V6" s="46"/>
      <c r="W6" s="46"/>
      <c r="X6" s="46"/>
    </row>
    <row r="7" spans="1:24" x14ac:dyDescent="0.25">
      <c r="A7" s="2">
        <v>3751.06</v>
      </c>
      <c r="B7" s="2">
        <v>4664.68</v>
      </c>
      <c r="C7" s="3">
        <v>22.5</v>
      </c>
      <c r="D7" s="2">
        <v>675.49</v>
      </c>
      <c r="E7" s="11"/>
      <c r="G7" s="31"/>
      <c r="H7" s="4"/>
      <c r="I7" s="4" t="s">
        <v>9</v>
      </c>
      <c r="J7" s="4"/>
      <c r="K7" s="4"/>
      <c r="L7" s="16">
        <v>0</v>
      </c>
      <c r="M7" s="4" t="s">
        <v>10</v>
      </c>
      <c r="N7" s="4"/>
      <c r="O7" s="4"/>
      <c r="P7" s="7">
        <f>L7*D10</f>
        <v>0</v>
      </c>
      <c r="Q7" s="4"/>
      <c r="R7" s="4"/>
      <c r="S7" s="31"/>
      <c r="W7" s="24" t="s">
        <v>43</v>
      </c>
    </row>
    <row r="8" spans="1:24" x14ac:dyDescent="0.25">
      <c r="A8" s="2">
        <v>4664.68</v>
      </c>
      <c r="B8" s="2"/>
      <c r="C8" s="3">
        <v>27.5</v>
      </c>
      <c r="D8" s="2">
        <v>908.73</v>
      </c>
      <c r="E8" s="11"/>
      <c r="G8" s="31"/>
      <c r="H8" s="4"/>
      <c r="I8" s="4" t="s">
        <v>11</v>
      </c>
      <c r="J8" s="4"/>
      <c r="K8" s="4"/>
      <c r="L8" s="7" t="str">
        <f>IF(AND(L5&gt;0,L6&gt;0),L5-Q6,"")</f>
        <v/>
      </c>
      <c r="M8" s="4"/>
      <c r="N8" s="4"/>
      <c r="O8" s="4"/>
      <c r="P8" s="4"/>
      <c r="Q8" s="4"/>
      <c r="R8" s="4"/>
      <c r="S8" s="31"/>
      <c r="W8" s="47">
        <f>IF(AND(L5&gt;5000,L5&lt;=7350),978.62-(0.133145*L5),0)</f>
        <v>0</v>
      </c>
    </row>
    <row r="9" spans="1:24" x14ac:dyDescent="0.25">
      <c r="E9" s="10"/>
      <c r="G9" s="31"/>
      <c r="H9" s="4"/>
      <c r="I9" s="4" t="s">
        <v>6</v>
      </c>
      <c r="J9" s="7">
        <f>IF(L5&lt;=5000,V5,IF(AND(L5&gt;5000,L5&lt;=7350),W5,X5))</f>
        <v>0</v>
      </c>
      <c r="K9" s="4"/>
      <c r="L9" s="5" t="s">
        <v>28</v>
      </c>
      <c r="M9" s="4"/>
      <c r="N9" s="4"/>
      <c r="O9" s="4"/>
      <c r="P9" s="4"/>
      <c r="Q9" s="4"/>
      <c r="R9" s="4"/>
      <c r="S9" s="31"/>
      <c r="U9" s="12"/>
      <c r="W9" s="47"/>
    </row>
    <row r="10" spans="1:24" x14ac:dyDescent="0.25">
      <c r="A10" s="40" t="s">
        <v>5</v>
      </c>
      <c r="B10" s="40"/>
      <c r="C10" s="40"/>
      <c r="D10" s="2">
        <v>189.59</v>
      </c>
      <c r="E10" s="11"/>
      <c r="G10" s="31"/>
      <c r="H10" s="4"/>
      <c r="I10" s="4" t="s">
        <v>20</v>
      </c>
      <c r="J10" s="7">
        <f>L5-L6-J9</f>
        <v>0</v>
      </c>
      <c r="K10" s="4"/>
      <c r="L10" s="5" t="s">
        <v>29</v>
      </c>
      <c r="M10" s="4"/>
      <c r="N10" s="4"/>
      <c r="O10" s="4"/>
      <c r="P10" s="4"/>
      <c r="Q10" s="4"/>
      <c r="R10" s="4"/>
      <c r="S10" s="31"/>
      <c r="W10" s="30" t="s">
        <v>44</v>
      </c>
    </row>
    <row r="11" spans="1:24" x14ac:dyDescent="0.25">
      <c r="A11" s="35" t="s">
        <v>30</v>
      </c>
      <c r="B11" s="37"/>
      <c r="C11" s="2">
        <v>607.20000000000005</v>
      </c>
      <c r="G11" s="31"/>
      <c r="H11" s="57" t="s">
        <v>22</v>
      </c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31"/>
    </row>
    <row r="12" spans="1:24" x14ac:dyDescent="0.25">
      <c r="G12" s="31"/>
      <c r="H12" s="4"/>
      <c r="I12" s="6"/>
      <c r="J12" s="6"/>
      <c r="K12" s="6"/>
      <c r="L12" s="6"/>
      <c r="M12" s="6"/>
      <c r="N12" s="6"/>
      <c r="O12" s="6"/>
      <c r="P12" s="6"/>
      <c r="Q12" s="6"/>
      <c r="R12" s="4"/>
      <c r="S12" s="31"/>
    </row>
    <row r="13" spans="1:24" x14ac:dyDescent="0.25">
      <c r="A13" s="14" t="s">
        <v>21</v>
      </c>
      <c r="G13" s="31"/>
      <c r="H13" s="4"/>
      <c r="I13" s="4" t="s">
        <v>12</v>
      </c>
      <c r="J13" s="15">
        <v>0</v>
      </c>
      <c r="K13" s="4"/>
      <c r="L13" s="4" t="s">
        <v>14</v>
      </c>
      <c r="M13" s="7">
        <f>TRUNC(J13*0.11,2)</f>
        <v>0</v>
      </c>
      <c r="N13" s="18" t="str">
        <f>IF(AND(TRUNC(J13*0.11,2)+Q6&lt;C11,J13&lt;&gt;"",J13&gt;0),C11,IF(AND(TRUNC(J13*0.11,2)+Q6&gt;=C11,J13&lt;&gt;"",J13&gt;0),TRUNC(J13*0.11,2)+Q6,""))</f>
        <v/>
      </c>
      <c r="O13" s="4" t="s">
        <v>15</v>
      </c>
      <c r="P13" s="4"/>
      <c r="Q13" s="7">
        <f>TRUNC(J13*0.2,2)</f>
        <v>0</v>
      </c>
      <c r="R13" s="4"/>
      <c r="S13" s="31"/>
      <c r="V13" s="51" t="s">
        <v>47</v>
      </c>
      <c r="W13" s="52"/>
      <c r="X13" s="53"/>
    </row>
    <row r="14" spans="1:24" x14ac:dyDescent="0.25">
      <c r="G14" s="31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31"/>
      <c r="V14" s="54" t="s">
        <v>36</v>
      </c>
      <c r="W14" s="55"/>
      <c r="X14" s="56"/>
    </row>
    <row r="15" spans="1:24" x14ac:dyDescent="0.25">
      <c r="G15" s="31"/>
      <c r="H15" s="4"/>
      <c r="I15" s="39" t="s">
        <v>13</v>
      </c>
      <c r="J15" s="39"/>
      <c r="K15" s="4"/>
      <c r="L15" s="7">
        <f>L5+J13</f>
        <v>0</v>
      </c>
      <c r="M15" s="4"/>
      <c r="N15" s="4"/>
      <c r="O15" s="4"/>
      <c r="P15" s="4"/>
      <c r="Q15" s="4"/>
      <c r="R15" s="4"/>
      <c r="S15" s="31"/>
      <c r="V15" s="27" t="s">
        <v>37</v>
      </c>
      <c r="W15" s="28" t="s">
        <v>38</v>
      </c>
      <c r="X15" s="29" t="s">
        <v>45</v>
      </c>
    </row>
    <row r="16" spans="1:24" x14ac:dyDescent="0.25">
      <c r="G16" s="31"/>
      <c r="H16" s="4"/>
      <c r="I16" s="38" t="s">
        <v>8</v>
      </c>
      <c r="J16" s="38"/>
      <c r="K16" s="4"/>
      <c r="L16" s="7">
        <f>IF(L6+M13&lt;C11,C11,L6+M13)</f>
        <v>607.20000000000005</v>
      </c>
      <c r="M16" s="4"/>
      <c r="N16" s="4"/>
      <c r="O16" s="4"/>
      <c r="P16" s="4"/>
      <c r="Q16" s="4"/>
      <c r="R16" s="4"/>
      <c r="S16" s="31"/>
      <c r="T16" s="48" t="s">
        <v>48</v>
      </c>
      <c r="U16" s="49"/>
      <c r="V16" s="46">
        <v>0</v>
      </c>
      <c r="W16" s="46" t="e">
        <f>$X$16-W19</f>
        <v>#VALUE!</v>
      </c>
      <c r="X16" s="46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-J9,"")</f>
        <v/>
      </c>
    </row>
    <row r="17" spans="1:24" x14ac:dyDescent="0.25">
      <c r="G17" s="31"/>
      <c r="H17" s="4"/>
      <c r="I17" s="4" t="s">
        <v>9</v>
      </c>
      <c r="J17" s="4"/>
      <c r="K17" s="4"/>
      <c r="L17" s="8">
        <f>L7</f>
        <v>0</v>
      </c>
      <c r="M17" s="4" t="s">
        <v>10</v>
      </c>
      <c r="N17" s="4"/>
      <c r="O17" s="4"/>
      <c r="P17" s="7">
        <f>L17*D10</f>
        <v>0</v>
      </c>
      <c r="Q17" s="4"/>
      <c r="R17" s="4"/>
      <c r="S17" s="31"/>
      <c r="T17" s="48"/>
      <c r="U17" s="49"/>
      <c r="V17" s="46"/>
      <c r="W17" s="46"/>
      <c r="X17" s="46"/>
    </row>
    <row r="18" spans="1:24" x14ac:dyDescent="0.25">
      <c r="G18" s="31"/>
      <c r="H18" s="4"/>
      <c r="I18" s="4" t="s">
        <v>11</v>
      </c>
      <c r="J18" s="4"/>
      <c r="K18" s="4"/>
      <c r="L18" s="7" t="str">
        <f>IF(AND(J13&lt;&gt;"",J13&lt;&gt;0),L15-L16-P17,"")</f>
        <v/>
      </c>
      <c r="M18" s="17"/>
      <c r="N18" s="19"/>
      <c r="O18" s="19"/>
      <c r="P18" s="4"/>
      <c r="Q18" s="4"/>
      <c r="R18" s="4"/>
      <c r="S18" s="31"/>
      <c r="W18" s="24" t="s">
        <v>43</v>
      </c>
    </row>
    <row r="19" spans="1:24" ht="15.75" customHeight="1" x14ac:dyDescent="0.25">
      <c r="G19" s="31"/>
      <c r="H19" s="4"/>
      <c r="I19" s="4" t="s">
        <v>17</v>
      </c>
      <c r="J19" s="4"/>
      <c r="K19" s="4"/>
      <c r="L19" s="7">
        <f>J13-M13</f>
        <v>0</v>
      </c>
      <c r="M19" s="5" t="s">
        <v>18</v>
      </c>
      <c r="N19" s="4"/>
      <c r="O19" s="4"/>
      <c r="P19" s="4"/>
      <c r="Q19" s="4"/>
      <c r="R19" s="4"/>
      <c r="S19" s="31"/>
      <c r="W19" s="47">
        <f>IF(AND(L15&gt;5000,L15&lt;=7350),978.62-(0.133145*L15),0)</f>
        <v>0</v>
      </c>
    </row>
    <row r="20" spans="1:24" x14ac:dyDescent="0.25">
      <c r="G20" s="31"/>
      <c r="H20" s="4"/>
      <c r="I20" s="66" t="s">
        <v>32</v>
      </c>
      <c r="J20" s="66"/>
      <c r="K20" s="4"/>
      <c r="L20" s="7">
        <f>IF(AND(L5&lt;&gt;0,L6&lt;&gt;0),IF(L15&lt;=5000,V16,IF(AND(L15&gt;5000,L15&lt;=7350),W16,X16)),0)</f>
        <v>0</v>
      </c>
      <c r="M20" s="5" t="s">
        <v>19</v>
      </c>
      <c r="N20" s="4"/>
      <c r="O20" s="4"/>
      <c r="P20" s="4"/>
      <c r="Q20" s="4"/>
      <c r="R20" s="4"/>
      <c r="S20" s="31"/>
      <c r="U20" s="12"/>
      <c r="W20" s="47"/>
    </row>
    <row r="21" spans="1:24" x14ac:dyDescent="0.25">
      <c r="A21" s="13" t="s">
        <v>24</v>
      </c>
      <c r="G21" s="31"/>
      <c r="H21" s="4"/>
      <c r="I21" s="67" t="s">
        <v>31</v>
      </c>
      <c r="J21" s="67"/>
      <c r="K21" s="67"/>
      <c r="L21" s="20"/>
      <c r="M21" s="21">
        <f>IF(L15&lt;=5000,V16,IF(AND(L15&gt;5000,L15&lt;=7350),W16,X16))</f>
        <v>0</v>
      </c>
      <c r="N21" s="23" t="str">
        <f>IF(AND(J13&lt;&gt;"",J13&lt;&gt;0),IF(L18&lt;=$B$4,0,IF(AND(L18&gt;=$A$5,L18&lt;=$B$5),TRUNC(L18*$C$5/100-$D$5,2),IF(AND(L18&gt;=$A$6,L18&lt;=$B$6),TRUNC(L18*$C$6/100-$D$6,2),IF(AND(L18&gt;=$A$7,L18&lt;=$B$7),TRUNC(L18*$C$7/100-$D$7,2),IF(L18&gt;=$A$8,TRUNC(L18*$C$8/100-$D$8,2),""))))),"")</f>
        <v/>
      </c>
      <c r="O21" s="62" t="s">
        <v>34</v>
      </c>
      <c r="P21" s="63"/>
      <c r="Q21" s="7">
        <f>J13-M13-L20</f>
        <v>0</v>
      </c>
      <c r="R21" s="4"/>
      <c r="S21" s="31"/>
      <c r="W21" s="30" t="s">
        <v>44</v>
      </c>
    </row>
    <row r="22" spans="1:24" x14ac:dyDescent="0.25"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</row>
    <row r="23" spans="1:24" x14ac:dyDescent="0.25">
      <c r="L23" s="22"/>
    </row>
    <row r="24" spans="1:24" x14ac:dyDescent="0.25">
      <c r="G24" s="65" t="s">
        <v>35</v>
      </c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</row>
  </sheetData>
  <sheetProtection algorithmName="SHA-512" hashValue="Ne93lTNlux/GNdJtUDTCCHs+NMKApHMevswbqxRYNhrE+fHWJH2bY6PQ/+lQUfM1airh71JAOSGkiDXhxcIygw==" saltValue="RLbnMbsAQuClLb2DOg63vA==" spinCount="100000" sheet="1" objects="1" scenarios="1"/>
  <mergeCells count="30">
    <mergeCell ref="G24:S24"/>
    <mergeCell ref="I20:J20"/>
    <mergeCell ref="I21:K21"/>
    <mergeCell ref="I15:J15"/>
    <mergeCell ref="I16:J16"/>
    <mergeCell ref="E1:I1"/>
    <mergeCell ref="N6:P6"/>
    <mergeCell ref="A11:B11"/>
    <mergeCell ref="O21:P21"/>
    <mergeCell ref="A1:D1"/>
    <mergeCell ref="J1:O2"/>
    <mergeCell ref="H3:R3"/>
    <mergeCell ref="I5:J5"/>
    <mergeCell ref="A10:C10"/>
    <mergeCell ref="U5:U6"/>
    <mergeCell ref="A2:D2"/>
    <mergeCell ref="W8:W9"/>
    <mergeCell ref="V13:X13"/>
    <mergeCell ref="V14:X14"/>
    <mergeCell ref="V2:X2"/>
    <mergeCell ref="V3:X3"/>
    <mergeCell ref="X5:X6"/>
    <mergeCell ref="W5:W6"/>
    <mergeCell ref="V5:V6"/>
    <mergeCell ref="H11:R11"/>
    <mergeCell ref="V16:V17"/>
    <mergeCell ref="W16:W17"/>
    <mergeCell ref="X16:X17"/>
    <mergeCell ref="W19:W20"/>
    <mergeCell ref="T16:U17"/>
  </mergeCells>
  <pageMargins left="0.19685039370078741" right="0.19685039370078741" top="0.31496062992125984" bottom="0.78740157480314965" header="0.31496062992125984" footer="0.31496062992125984"/>
  <pageSetup paperSize="9" scale="75" orientation="landscape" horizontalDpi="4294967293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317F5-F0E3-4572-89B0-30E21C864507}">
  <dimension ref="A1:C11"/>
  <sheetViews>
    <sheetView workbookViewId="0">
      <selection activeCell="C3" sqref="C3"/>
    </sheetView>
  </sheetViews>
  <sheetFormatPr defaultRowHeight="15" x14ac:dyDescent="0.25"/>
  <cols>
    <col min="1" max="1" width="14.5703125" style="25" customWidth="1"/>
    <col min="2" max="2" width="12.5703125" style="25" customWidth="1"/>
    <col min="3" max="3" width="79.28515625" style="25" customWidth="1"/>
  </cols>
  <sheetData>
    <row r="1" spans="1:3" x14ac:dyDescent="0.25">
      <c r="A1" s="32" t="s">
        <v>50</v>
      </c>
      <c r="B1" s="26" t="s">
        <v>51</v>
      </c>
      <c r="C1" s="26" t="s">
        <v>52</v>
      </c>
    </row>
    <row r="2" spans="1:3" x14ac:dyDescent="0.25">
      <c r="A2" s="33">
        <v>46043</v>
      </c>
      <c r="B2" s="25" t="s">
        <v>53</v>
      </c>
      <c r="C2" s="25" t="s">
        <v>54</v>
      </c>
    </row>
    <row r="3" spans="1:3" x14ac:dyDescent="0.25">
      <c r="A3" s="34"/>
      <c r="B3" s="34"/>
      <c r="C3" s="34"/>
    </row>
    <row r="5" spans="1:3" x14ac:dyDescent="0.25">
      <c r="A5" s="34"/>
      <c r="B5" s="34"/>
      <c r="C5" s="34"/>
    </row>
    <row r="7" spans="1:3" x14ac:dyDescent="0.25">
      <c r="A7" s="34"/>
      <c r="B7" s="34"/>
      <c r="C7" s="34"/>
    </row>
    <row r="9" spans="1:3" x14ac:dyDescent="0.25">
      <c r="A9" s="34"/>
      <c r="B9" s="34"/>
      <c r="C9" s="34"/>
    </row>
    <row r="11" spans="1:3" x14ac:dyDescent="0.25">
      <c r="A11" s="34"/>
      <c r="B11" s="34"/>
      <c r="C11" s="34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Simulador  IR 2024</vt:lpstr>
      <vt:lpstr>Simulador IR 2025</vt:lpstr>
      <vt:lpstr>Controle de revisão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cp:lastPrinted>2025-11-05T23:40:36Z</cp:lastPrinted>
  <dcterms:created xsi:type="dcterms:W3CDTF">2025-03-31T18:44:38Z</dcterms:created>
  <dcterms:modified xsi:type="dcterms:W3CDTF">2026-01-22T01:42:23Z</dcterms:modified>
</cp:coreProperties>
</file>