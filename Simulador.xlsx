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rod\Desktop\Documentos office e PDFs\Planilhas Excel\Cálculo do IR\"/>
    </mc:Choice>
  </mc:AlternateContent>
  <xr:revisionPtr revIDLastSave="0" documentId="13_ncr:1_{17B13FC9-EEA5-4C91-B569-8AB4CD1EF111}" xr6:coauthVersionLast="47" xr6:coauthVersionMax="47" xr10:uidLastSave="{00000000-0000-0000-0000-000000000000}"/>
  <bookViews>
    <workbookView xWindow="20370" yWindow="-120" windowWidth="20730" windowHeight="11160" firstSheet="1" activeTab="1" xr2:uid="{00000000-000D-0000-FFFF-FFFF00000000}"/>
  </bookViews>
  <sheets>
    <sheet name="Simulador  IR 2024" sheetId="1" state="hidden" r:id="rId1"/>
    <sheet name="Simulador IR 2025" sheetId="3" r:id="rId2"/>
    <sheet name="Controle de revisã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3" l="1"/>
  <c r="L17" i="3"/>
  <c r="P17" i="3" l="1"/>
  <c r="L15" i="3"/>
  <c r="Q13" i="3"/>
  <c r="M13" i="3"/>
  <c r="P7" i="3"/>
  <c r="W19" i="3" l="1"/>
  <c r="L19" i="3"/>
  <c r="L16" i="3"/>
  <c r="Q6" i="3"/>
  <c r="L15" i="1"/>
  <c r="L18" i="3" l="1"/>
  <c r="N13" i="3"/>
  <c r="L8" i="3"/>
  <c r="L17" i="1"/>
  <c r="P17" i="1" s="1"/>
  <c r="N13" i="1"/>
  <c r="L16" i="1" s="1"/>
  <c r="M13" i="1"/>
  <c r="L19" i="1" s="1"/>
  <c r="P7" i="1"/>
  <c r="Q13" i="1"/>
  <c r="N21" i="3" l="1"/>
  <c r="X5" i="3"/>
  <c r="L8" i="1"/>
  <c r="L18" i="1"/>
  <c r="W5" i="3" l="1"/>
  <c r="J9" i="3" s="1"/>
  <c r="J9" i="1"/>
  <c r="J20" i="1" s="1"/>
  <c r="J10" i="3" l="1"/>
  <c r="X16" i="3"/>
  <c r="L20" i="3" s="1"/>
  <c r="J10" i="1"/>
  <c r="Q21" i="3" l="1"/>
  <c r="W16" i="3"/>
  <c r="M2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Qualificação, FG, CD, Gratificação Natalina, 13º salário, 1/3 férias, etc)</t>
        </r>
      </text>
    </comment>
    <comment ref="I1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 IQ, FG, CD, Gratificação Natalina, substituição, etc)</t>
        </r>
      </text>
    </comment>
    <comment ref="J6" authorId="0" shapeId="0" xr:uid="{D338E1C1-5729-4EA8-94C7-0924A8474E1F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Inclui Funpresp, Contribuição Plano Seguridade Social, Pensão alimentícia e outras deduções obrigatórias.</t>
        </r>
      </text>
    </comment>
    <comment ref="I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  <comment ref="L20" authorId="0" shapeId="0" xr:uid="{77F7D2C0-24E5-4269-913C-3C1124496715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Se o IR for zerado, não haverá lançado de retenção no SIAFI.</t>
        </r>
      </text>
    </comment>
    <comment ref="I21" authorId="0" shapeId="0" xr:uid="{354C0ED8-C217-4CD8-8B00-90DD09351D44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Somente se os dados de remuneração e contribuição do servidor estiverem zerados. </t>
        </r>
      </text>
    </comment>
  </commentList>
</comments>
</file>

<file path=xl/sharedStrings.xml><?xml version="1.0" encoding="utf-8"?>
<sst xmlns="http://schemas.openxmlformats.org/spreadsheetml/2006/main" count="90" uniqueCount="55">
  <si>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</si>
  <si>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</si>
  <si>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</si>
  <si>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</si>
  <si>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</si>
  <si>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</si>
  <si>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</si>
  <si>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</si>
  <si>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</si>
  <si>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</si>
  <si>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</si>
  <si>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</si>
  <si>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</si>
  <si>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</si>
  <si>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</si>
  <si>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</si>
  <si>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</si>
  <si>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</si>
  <si>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</si>
  <si>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</si>
  <si>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</si>
  <si>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</si>
  <si>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</si>
  <si>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</si>
  <si>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</si>
  <si>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</si>
  <si>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</si>
  <si>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</si>
  <si>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</si>
  <si>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</si>
  <si>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</si>
  <si>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Valor do IR (apenas para colaborar externo):</t>
  </si>
  <si>
    <t>Valor do IR (para servidores):</t>
  </si>
  <si>
    <t>Simulador IR do contracheque do servidor (preencher somente as células azuis):</t>
  </si>
  <si>
    <t>Líquido a receber:</t>
  </si>
  <si>
    <t xml:space="preserve">Referência: 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</si>
  <si>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</si>
  <si>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</si>
  <si>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</si>
  <si>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</si>
  <si>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</si>
  <si>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</si>
  <si>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</si>
  <si>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</si>
  <si>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</si>
  <si>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</si>
  <si>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</si>
  <si>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</si>
  <si>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</si>
  <si>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Revisão 13.2026.1 - 21/01/2026</t>
  </si>
  <si>
    <t>Data</t>
  </si>
  <si>
    <t>Versão</t>
  </si>
  <si>
    <t>Alteração</t>
  </si>
  <si>
    <t>13.2026.1</t>
  </si>
  <si>
    <t>Adequação da planilha paraa nova metodologia de cálculo do IR para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</si>
</sst>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5" fillId="0" borderId="0" xfId="0" applyFont="1"/>
    <xf numFmtId="0" fontId="7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8" fillId="5" borderId="0" xfId="0" applyNumberFormat="1" applyFont="1" applyFill="1"/>
    <xf numFmtId="4" fontId="0" fillId="5" borderId="0" xfId="0" applyNumberFormat="1" applyFill="1"/>
    <xf numFmtId="0" fontId="5" fillId="5" borderId="0" xfId="0" applyFont="1" applyFill="1"/>
    <xf numFmtId="4" fontId="5" fillId="6" borderId="1" xfId="0" applyNumberFormat="1" applyFont="1" applyFill="1" applyBorder="1"/>
    <xf numFmtId="0" fontId="2" fillId="4" borderId="0" xfId="0" applyFont="1" applyFill="1"/>
    <xf numFmtId="0" fontId="10" fillId="5" borderId="0" xfId="0" applyFont="1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12" fillId="10" borderId="0" xfId="0" applyFont="1" applyFill="1" applyAlignment="1" applyProtection="1">
      <alignment horizontal="left"/>
      <protection locked="0"/>
    </xf>
    <xf numFmtId="0" fontId="9" fillId="5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6" fillId="9" borderId="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1" fillId="5" borderId="0" xfId="0" applyFont="1" applyFill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" fontId="13" fillId="0" borderId="1" xfId="0" applyNumberFormat="1" applyFont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4" fontId="13" fillId="14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12" fillId="0" borderId="6" xfId="0" applyFont="1" applyBorder="1" applyAlignment="1">
      <alignment horizontal="left" vertical="center"/>
    </xf>
    <xf numFmtId="0" fontId="5" fillId="10" borderId="2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95251</xdr:colOff>
      <xdr:row>27</xdr:row>
      <xdr:rowOff>47598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6" y="5015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11</xdr:col>
      <xdr:colOff>114300</xdr:colOff>
      <xdr:row>20</xdr:row>
      <xdr:rowOff>114300</xdr:rowOff>
    </xdr:from>
    <xdr:to>
      <xdr:col>11</xdr:col>
      <xdr:colOff>723900</xdr:colOff>
      <xdr:row>20</xdr:row>
      <xdr:rowOff>114300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A82487BC-7945-4639-85D8-60BD80493A9F}"/>
            </a:ext>
          </a:extLst>
        </xdr:cNvPr>
        <xdr:cNvCxnSpPr/>
      </xdr:nvCxnSpPr>
      <xdr:spPr>
        <a:xfrm>
          <a:off x="7134225" y="3933825"/>
          <a:ext cx="609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"/>
  <sheetViews>
    <sheetView showGridLines="0" workbookViewId="0">
      <selection activeCell="J1" sqref="J1:O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9" max="9" width="15.42578125" customWidth="1"/>
    <col min="10" max="10" width="13.7109375" customWidth="1"/>
    <col min="12" max="12" width="11.140625" customWidth="1"/>
    <col min="13" max="13" width="10.28515625" customWidth="1"/>
    <col min="19" max="19" width="2.28515625" customWidth="1"/>
    <col min="21" max="21" width="13.7109375" customWidth="1"/>
  </cols>
  <sheetData>
    <row r="1" spans="1:21" x14ac:dyDescent="0.25">
      <c r="A1" s="25" t="s">
        <v>0</v>
      </c>
      <c r="B1" s="26"/>
      <c r="C1" s="26"/>
      <c r="D1" s="27"/>
      <c r="E1" s="33" t="s">
        <v>26</v>
      </c>
      <c r="F1" s="34"/>
      <c r="G1" s="34"/>
      <c r="H1" s="34"/>
      <c r="I1" s="35"/>
      <c r="J1" s="32" t="s">
        <v>23</v>
      </c>
      <c r="K1" s="32"/>
      <c r="L1" s="32"/>
      <c r="M1" s="32"/>
      <c r="N1" s="32"/>
      <c r="O1" s="32"/>
    </row>
    <row r="2" spans="1:21" x14ac:dyDescent="0.25">
      <c r="E2" s="10"/>
      <c r="J2" s="32"/>
      <c r="K2" s="32"/>
      <c r="L2" s="32"/>
      <c r="M2" s="32"/>
      <c r="N2" s="32"/>
      <c r="O2" s="32"/>
    </row>
    <row r="3" spans="1:21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31" t="s">
        <v>16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9"/>
    </row>
    <row r="4" spans="1:21" x14ac:dyDescent="0.25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 x14ac:dyDescent="0.25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28" t="s">
        <v>7</v>
      </c>
      <c r="J5" s="28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 x14ac:dyDescent="0.25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 x14ac:dyDescent="0.25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 x14ac:dyDescent="0.25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 x14ac:dyDescent="0.25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 x14ac:dyDescent="0.25">
      <c r="A10" s="30" t="s">
        <v>5</v>
      </c>
      <c r="B10" s="30"/>
      <c r="C10" s="30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x14ac:dyDescent="0.25">
      <c r="G11" s="9"/>
      <c r="H11" s="31" t="s">
        <v>22</v>
      </c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9"/>
    </row>
    <row r="12" spans="1:21" x14ac:dyDescent="0.25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 x14ac:dyDescent="0.25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 x14ac:dyDescent="0.25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 x14ac:dyDescent="0.25">
      <c r="G15" s="9"/>
      <c r="H15" s="4"/>
      <c r="I15" s="29" t="s">
        <v>13</v>
      </c>
      <c r="J15" s="29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 x14ac:dyDescent="0.25">
      <c r="G16" s="9"/>
      <c r="H16" s="4"/>
      <c r="I16" s="28" t="s">
        <v>8</v>
      </c>
      <c r="J16" s="28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 x14ac:dyDescent="0.25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 x14ac:dyDescent="0.25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 x14ac:dyDescent="0.25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 x14ac:dyDescent="0.25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 x14ac:dyDescent="0.25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 x14ac:dyDescent="0.25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4"/>
  <sheetViews>
    <sheetView showGridLines="0" tabSelected="1" topLeftCell="A6" workbookViewId="0">
      <selection activeCell="J14" sqref="J14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8" max="8" width="8.5703125" customWidth="1"/>
    <col min="9" max="9" width="15.42578125" customWidth="1"/>
    <col min="10" max="10" width="13.7109375" customWidth="1"/>
    <col min="11" max="11" width="10.28515625" customWidth="1"/>
    <col min="12" max="12" width="11.140625" customWidth="1"/>
    <col min="13" max="13" width="10.28515625" customWidth="1"/>
    <col min="16" max="16" width="10.7109375" customWidth="1"/>
    <col min="18" max="18" width="14.85546875" customWidth="1"/>
    <col min="19" max="19" width="2.28515625" customWidth="1"/>
    <col min="21" max="21" width="13.7109375" customWidth="1"/>
    <col min="22" max="22" width="15" customWidth="1"/>
    <col min="23" max="23" width="31.7109375" customWidth="1"/>
    <col min="24" max="24" width="30.42578125" customWidth="1"/>
  </cols>
  <sheetData>
    <row r="1" spans="1:24" x14ac:dyDescent="0.25">
      <c r="A1" s="25" t="s">
        <v>46</v>
      </c>
      <c r="B1" s="26"/>
      <c r="C1" s="26"/>
      <c r="D1" s="27"/>
      <c r="E1" s="40" t="s">
        <v>49</v>
      </c>
      <c r="F1" s="41"/>
      <c r="G1" s="41"/>
      <c r="H1" s="41"/>
      <c r="I1" s="42"/>
      <c r="J1" s="39" t="s">
        <v>41</v>
      </c>
      <c r="K1" s="39"/>
      <c r="L1" s="39"/>
      <c r="M1" s="39"/>
      <c r="N1" s="39"/>
      <c r="O1" s="39"/>
    </row>
    <row r="2" spans="1:24" x14ac:dyDescent="0.25">
      <c r="A2" s="56" t="s">
        <v>42</v>
      </c>
      <c r="B2" s="56"/>
      <c r="C2" s="56"/>
      <c r="D2" s="56"/>
      <c r="E2" s="10"/>
      <c r="J2" s="39"/>
      <c r="K2" s="39"/>
      <c r="L2" s="39"/>
      <c r="M2" s="39"/>
      <c r="N2" s="39"/>
      <c r="O2" s="39"/>
      <c r="V2" s="25" t="s">
        <v>39</v>
      </c>
      <c r="W2" s="26"/>
      <c r="X2" s="27"/>
    </row>
    <row r="3" spans="1:24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64"/>
      <c r="H3" s="63" t="s">
        <v>33</v>
      </c>
      <c r="I3" s="63"/>
      <c r="J3" s="63"/>
      <c r="K3" s="63"/>
      <c r="L3" s="63"/>
      <c r="M3" s="63"/>
      <c r="N3" s="63"/>
      <c r="O3" s="63"/>
      <c r="P3" s="63"/>
      <c r="Q3" s="63"/>
      <c r="R3" s="63"/>
      <c r="S3" s="64"/>
      <c r="V3" s="48" t="s">
        <v>36</v>
      </c>
      <c r="W3" s="49"/>
      <c r="X3" s="50"/>
    </row>
    <row r="4" spans="1:24" ht="18.75" customHeight="1" x14ac:dyDescent="0.25">
      <c r="A4" s="2"/>
      <c r="B4" s="2">
        <v>2428.8000000000002</v>
      </c>
      <c r="C4" s="3">
        <v>0</v>
      </c>
      <c r="D4" s="2">
        <v>0</v>
      </c>
      <c r="E4" s="11"/>
      <c r="G4" s="6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4"/>
      <c r="V4" s="51" t="s">
        <v>37</v>
      </c>
      <c r="W4" s="52" t="s">
        <v>38</v>
      </c>
      <c r="X4" s="53" t="s">
        <v>45</v>
      </c>
    </row>
    <row r="5" spans="1:24" x14ac:dyDescent="0.25">
      <c r="A5" s="2">
        <v>2428.81</v>
      </c>
      <c r="B5" s="2">
        <v>2826.65</v>
      </c>
      <c r="C5" s="3">
        <v>7.5</v>
      </c>
      <c r="D5" s="2">
        <v>182.16</v>
      </c>
      <c r="E5" s="11"/>
      <c r="G5" s="64"/>
      <c r="H5" s="4"/>
      <c r="I5" s="28" t="s">
        <v>7</v>
      </c>
      <c r="J5" s="28"/>
      <c r="K5" s="4"/>
      <c r="L5" s="15">
        <v>0</v>
      </c>
      <c r="M5" s="4"/>
      <c r="N5" s="4"/>
      <c r="O5" s="4"/>
      <c r="P5" s="4"/>
      <c r="Q5" s="4"/>
      <c r="R5" s="4"/>
      <c r="S5" s="64"/>
      <c r="U5" s="54" t="s">
        <v>40</v>
      </c>
      <c r="V5" s="55">
        <v>0</v>
      </c>
      <c r="W5" s="55" t="e">
        <f>$X$5-$W$8</f>
        <v>#VALUE!</v>
      </c>
      <c r="X5" s="55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 x14ac:dyDescent="0.25">
      <c r="A6" s="2">
        <v>2826.66</v>
      </c>
      <c r="B6" s="2">
        <v>3751.05</v>
      </c>
      <c r="C6" s="3">
        <v>15</v>
      </c>
      <c r="D6" s="2">
        <v>394.16</v>
      </c>
      <c r="E6" s="11"/>
      <c r="G6" s="64"/>
      <c r="H6" s="4"/>
      <c r="I6" s="4" t="s">
        <v>8</v>
      </c>
      <c r="J6" s="4"/>
      <c r="K6" s="4"/>
      <c r="L6" s="15">
        <v>0</v>
      </c>
      <c r="M6" s="4"/>
      <c r="N6" s="29" t="s">
        <v>27</v>
      </c>
      <c r="O6" s="29"/>
      <c r="P6" s="43"/>
      <c r="Q6" s="7">
        <f>IF(L6+P7&lt;C11,C11,L6+P7)</f>
        <v>607.20000000000005</v>
      </c>
      <c r="R6" s="4"/>
      <c r="S6" s="64"/>
      <c r="U6" s="54"/>
      <c r="V6" s="55"/>
      <c r="W6" s="55"/>
      <c r="X6" s="55"/>
    </row>
    <row r="7" spans="1:24" x14ac:dyDescent="0.25">
      <c r="A7" s="2">
        <v>3751.06</v>
      </c>
      <c r="B7" s="2">
        <v>4664.68</v>
      </c>
      <c r="C7" s="3">
        <v>22.5</v>
      </c>
      <c r="D7" s="2">
        <v>675.49</v>
      </c>
      <c r="E7" s="11"/>
      <c r="G7" s="64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64"/>
      <c r="W7" s="24" t="s">
        <v>43</v>
      </c>
    </row>
    <row r="8" spans="1:24" x14ac:dyDescent="0.25">
      <c r="A8" s="2">
        <v>4664.68</v>
      </c>
      <c r="B8" s="2"/>
      <c r="C8" s="3">
        <v>27.5</v>
      </c>
      <c r="D8" s="2">
        <v>908.73</v>
      </c>
      <c r="E8" s="11"/>
      <c r="G8" s="64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64"/>
      <c r="W8" s="57">
        <f>IF(AND(L5&gt;5000,L5&lt;=7350),978.62-(0.133145*L5),0)</f>
        <v>0</v>
      </c>
    </row>
    <row r="9" spans="1:24" x14ac:dyDescent="0.25">
      <c r="E9" s="10"/>
      <c r="G9" s="64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64"/>
      <c r="U9" s="12"/>
      <c r="W9" s="57"/>
    </row>
    <row r="10" spans="1:24" x14ac:dyDescent="0.25">
      <c r="A10" s="30" t="s">
        <v>5</v>
      </c>
      <c r="B10" s="30"/>
      <c r="C10" s="30"/>
      <c r="D10" s="2">
        <v>189.59</v>
      </c>
      <c r="E10" s="11"/>
      <c r="G10" s="64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64"/>
      <c r="W10" s="58" t="s">
        <v>44</v>
      </c>
    </row>
    <row r="11" spans="1:24" x14ac:dyDescent="0.25">
      <c r="A11" s="25" t="s">
        <v>30</v>
      </c>
      <c r="B11" s="27"/>
      <c r="C11" s="2">
        <v>607.20000000000005</v>
      </c>
      <c r="G11" s="64"/>
      <c r="H11" s="63" t="s">
        <v>22</v>
      </c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4"/>
    </row>
    <row r="12" spans="1:24" x14ac:dyDescent="0.25">
      <c r="G12" s="64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64"/>
    </row>
    <row r="13" spans="1:24" x14ac:dyDescent="0.25">
      <c r="A13" s="14" t="s">
        <v>21</v>
      </c>
      <c r="G13" s="64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64"/>
      <c r="V13" s="60" t="s">
        <v>47</v>
      </c>
      <c r="W13" s="61"/>
      <c r="X13" s="62"/>
    </row>
    <row r="14" spans="1:24" x14ac:dyDescent="0.25">
      <c r="G14" s="6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4"/>
      <c r="V14" s="48" t="s">
        <v>36</v>
      </c>
      <c r="W14" s="49"/>
      <c r="X14" s="50"/>
    </row>
    <row r="15" spans="1:24" x14ac:dyDescent="0.25">
      <c r="G15" s="64"/>
      <c r="H15" s="4"/>
      <c r="I15" s="29" t="s">
        <v>13</v>
      </c>
      <c r="J15" s="29"/>
      <c r="K15" s="4"/>
      <c r="L15" s="7">
        <f>L5+J13</f>
        <v>0</v>
      </c>
      <c r="M15" s="4"/>
      <c r="N15" s="4"/>
      <c r="O15" s="4"/>
      <c r="P15" s="4"/>
      <c r="Q15" s="4"/>
      <c r="R15" s="4"/>
      <c r="S15" s="64"/>
      <c r="V15" s="51" t="s">
        <v>37</v>
      </c>
      <c r="W15" s="52" t="s">
        <v>38</v>
      </c>
      <c r="X15" s="53" t="s">
        <v>45</v>
      </c>
    </row>
    <row r="16" spans="1:24" x14ac:dyDescent="0.25">
      <c r="G16" s="64"/>
      <c r="H16" s="4"/>
      <c r="I16" s="28" t="s">
        <v>8</v>
      </c>
      <c r="J16" s="28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64"/>
      <c r="T16" s="54" t="s">
        <v>48</v>
      </c>
      <c r="U16" s="59"/>
      <c r="V16" s="55">
        <v>0</v>
      </c>
      <c r="W16" s="55" t="e">
        <f>$X$16-W19</f>
        <v>#VALUE!</v>
      </c>
      <c r="X16" s="55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 x14ac:dyDescent="0.25">
      <c r="G17" s="64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64"/>
      <c r="T17" s="54"/>
      <c r="U17" s="59"/>
      <c r="V17" s="55"/>
      <c r="W17" s="55"/>
      <c r="X17" s="55"/>
    </row>
    <row r="18" spans="1:24" x14ac:dyDescent="0.25">
      <c r="G18" s="64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64"/>
      <c r="W18" s="24" t="s">
        <v>43</v>
      </c>
    </row>
    <row r="19" spans="1:24" ht="15.75" customHeight="1" x14ac:dyDescent="0.25">
      <c r="G19" s="64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64"/>
      <c r="W19" s="57">
        <f>IF(AND(L15&gt;5000,L15&lt;=7350),978.62-(0.133145*L15),0)</f>
        <v>0</v>
      </c>
    </row>
    <row r="20" spans="1:24" x14ac:dyDescent="0.25">
      <c r="G20" s="64"/>
      <c r="H20" s="4"/>
      <c r="I20" s="37" t="s">
        <v>32</v>
      </c>
      <c r="J20" s="37"/>
      <c r="K20" s="4"/>
      <c r="L20" s="7">
        <f>IF(AND(L5&lt;&gt;0,L6&lt;&gt;0),IF(L15&lt;=5000,V16,IF(AND(L15&gt;5000,L15&lt;=7350),W16,X16)),0)</f>
        <v>0</v>
      </c>
      <c r="M20" s="5" t="s">
        <v>19</v>
      </c>
      <c r="N20" s="4"/>
      <c r="O20" s="4"/>
      <c r="P20" s="4"/>
      <c r="Q20" s="4"/>
      <c r="R20" s="4"/>
      <c r="S20" s="64"/>
      <c r="U20" s="12"/>
      <c r="W20" s="57"/>
    </row>
    <row r="21" spans="1:24" x14ac:dyDescent="0.25">
      <c r="A21" s="13" t="s">
        <v>24</v>
      </c>
      <c r="G21" s="64"/>
      <c r="H21" s="4"/>
      <c r="I21" s="38" t="s">
        <v>31</v>
      </c>
      <c r="J21" s="38"/>
      <c r="K21" s="38"/>
      <c r="L21" s="20"/>
      <c r="M21" s="21">
        <f>IF(L15&lt;=5000,V16,IF(AND(L15&gt;5000,L15&lt;=7350),W16,X16))</f>
        <v>0</v>
      </c>
      <c r="N21" s="23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,"")</f>
        <v/>
      </c>
      <c r="O21" s="44" t="s">
        <v>34</v>
      </c>
      <c r="P21" s="45"/>
      <c r="Q21" s="7">
        <f>J13-M13-L20</f>
        <v>0</v>
      </c>
      <c r="R21" s="4"/>
      <c r="S21" s="64"/>
      <c r="W21" s="58" t="s">
        <v>44</v>
      </c>
    </row>
    <row r="22" spans="1:24" x14ac:dyDescent="0.25"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</row>
    <row r="23" spans="1:24" x14ac:dyDescent="0.25">
      <c r="L23" s="22"/>
    </row>
    <row r="24" spans="1:24" x14ac:dyDescent="0.25">
      <c r="G24" s="36" t="s">
        <v>35</v>
      </c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</row>
  </sheetData>
  <mergeCells count="30">
    <mergeCell ref="V16:V17"/>
    <mergeCell ref="W16:W17"/>
    <mergeCell ref="X16:X17"/>
    <mergeCell ref="W19:W20"/>
    <mergeCell ref="T16:U17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E1:I1"/>
    <mergeCell ref="N6:P6"/>
    <mergeCell ref="A11:B11"/>
    <mergeCell ref="O21:P21"/>
    <mergeCell ref="A1:D1"/>
    <mergeCell ref="J1:O2"/>
    <mergeCell ref="H3:R3"/>
    <mergeCell ref="I5:J5"/>
    <mergeCell ref="A10:C10"/>
    <mergeCell ref="G24:S24"/>
    <mergeCell ref="I20:J20"/>
    <mergeCell ref="I21:K21"/>
    <mergeCell ref="I15:J15"/>
    <mergeCell ref="I16:J16"/>
  </mergeCells>
  <pageMargins left="0.19685039370078741" right="0.19685039370078741" top="0.31496062992125984" bottom="0.78740157480314965" header="0.31496062992125984" footer="0.31496062992125984"/>
  <pageSetup paperSize="9" scale="75" orientation="landscape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17F5-F0E3-4572-89B0-30E21C864507}">
  <dimension ref="A1:C11"/>
  <sheetViews>
    <sheetView workbookViewId="0">
      <selection activeCell="C3" sqref="C3"/>
    </sheetView>
  </sheetViews>
  <sheetFormatPr defaultRowHeight="15" x14ac:dyDescent="0.25"/>
  <cols>
    <col min="1" max="1" width="14.5703125" style="46" customWidth="1"/>
    <col min="2" max="2" width="12.5703125" style="46" customWidth="1"/>
    <col min="3" max="3" width="79.28515625" style="46" customWidth="1"/>
  </cols>
  <sheetData>
    <row r="1" spans="1:3" x14ac:dyDescent="0.25">
      <c r="A1" s="65" t="s">
        <v>50</v>
      </c>
      <c r="B1" s="47" t="s">
        <v>51</v>
      </c>
      <c r="C1" s="47" t="s">
        <v>52</v>
      </c>
    </row>
    <row r="2" spans="1:3" x14ac:dyDescent="0.25">
      <c r="A2" s="66">
        <v>46043</v>
      </c>
      <c r="B2" s="46" t="s">
        <v>53</v>
      </c>
      <c r="C2" s="46" t="s">
        <v>54</v>
      </c>
    </row>
    <row r="3" spans="1:3" x14ac:dyDescent="0.25">
      <c r="A3" s="67"/>
      <c r="B3" s="67"/>
      <c r="C3" s="67"/>
    </row>
    <row r="5" spans="1:3" x14ac:dyDescent="0.25">
      <c r="A5" s="67"/>
      <c r="B5" s="67"/>
      <c r="C5" s="67"/>
    </row>
    <row r="7" spans="1:3" x14ac:dyDescent="0.25">
      <c r="A7" s="67"/>
      <c r="B7" s="67"/>
      <c r="C7" s="67"/>
    </row>
    <row r="9" spans="1:3" x14ac:dyDescent="0.25">
      <c r="A9" s="67"/>
      <c r="B9" s="67"/>
      <c r="C9" s="67"/>
    </row>
    <row r="11" spans="1:3" x14ac:dyDescent="0.25">
      <c r="A11" s="67"/>
      <c r="B11" s="67"/>
      <c r="C11" s="6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cp:lastPrinted>2025-11-05T23:40:36Z</cp:lastPrinted>
  <dcterms:created xsi:type="dcterms:W3CDTF">2025-03-31T18:44:38Z</dcterms:created>
  <dcterms:modified xsi:type="dcterms:W3CDTF">2026-01-22T01:34:01Z</dcterms:modified>
</cp:coreProperties>
</file>