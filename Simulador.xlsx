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20" yWindow="-120" windowWidth="20730" windowHeight="11160" firstSheet="1" activeTab="1"/>
  </bookViews>
  <sheets>
    <sheet name="Simulador  IR 2024" sheetId="1" state="hidden" r:id="rId1"/>
    <sheet name="Simulador IR 2025" sheetId="3" r:id="rId2"/>
    <sheet name="Controle de revisão" sheetId="4" r:id="rId3"/>
  </sheets>
  <calcPr calcId="124519" iterateDelta="1E-4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3"/>
  <c r="L17"/>
  <c r="W8" l="1"/>
  <c r="P17"/>
  <c r="L15"/>
  <c r="Q13"/>
  <c r="M13"/>
  <c r="P7"/>
  <c r="L16" l="1"/>
  <c r="W19"/>
  <c r="L19"/>
  <c r="L8"/>
  <c r="L15" i="1"/>
  <c r="L18" i="3" l="1"/>
  <c r="N13"/>
  <c r="L17" i="1"/>
  <c r="P17" s="1"/>
  <c r="N13"/>
  <c r="L16" s="1"/>
  <c r="M13"/>
  <c r="L19" s="1"/>
  <c r="P7"/>
  <c r="Q13"/>
  <c r="X5" i="3" l="1"/>
  <c r="L8" i="1"/>
  <c r="L18"/>
  <c r="W5" i="3" l="1"/>
  <c r="J9" s="1"/>
  <c r="J9" i="1"/>
  <c r="J20" s="1"/>
  <c r="J10" i="3" l="1"/>
  <c r="X16"/>
  <c r="J10" i="1"/>
  <c r="W16" i="3" l="1"/>
  <c r="L20" l="1"/>
  <c r="L21" s="1"/>
</calcChain>
</file>

<file path=xl/sharedStrings.xml><?xml version="1.0" encoding="utf-8"?>
<sst xmlns="http://schemas.openxmlformats.org/spreadsheetml/2006/main" count="99" uniqueCount="64">
  <si>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</si>
  <si>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</si>
  <si>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</si>
  <si>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</si>
  <si>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</si>
  <si>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</si>
  <si>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</si>
  <si>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</si>
  <si>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</si>
  <si>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</si>
  <si>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</si>
  <si>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</si>
  <si>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</si>
  <si>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</si>
  <si>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</si>
  <si>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</si>
  <si>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</si>
  <si>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</si>
  <si>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</si>
  <si>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</si>
  <si>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</si>
  <si>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</si>
  <si>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</si>
  <si>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</si>
  <si>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</si>
  <si>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</si>
  <si>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</si>
  <si>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</si>
  <si>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</si>
  <si>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</si>
  <si>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</si>
  <si>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Simulador IR do contracheque do servidor (preencher somente as células azuis):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</si>
  <si>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</si>
  <si>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</si>
  <si>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</si>
  <si>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</si>
  <si>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</si>
  <si>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</si>
  <si>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</si>
  <si>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</si>
  <si>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</si>
  <si>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</si>
  <si>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</si>
  <si>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</si>
  <si>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</si>
  <si>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Data</t>
  </si>
  <si>
    <t>Versão</t>
  </si>
  <si>
    <t>Alteração</t>
  </si>
  <si>
    <t>13.2026.1</t>
  </si>
  <si>
    <t>Criada por José Rodrigues - CFCA - Reitoria - Março/2025</t>
  </si>
  <si>
    <t>13.2026.2</t>
  </si>
  <si>
    <t>Algumas validações adicionais nas fórmulas das células M21 e Q21</t>
  </si>
  <si>
    <t>Campo de referência para informação do nome do servidor/colaborador - G24</t>
  </si>
  <si>
    <t>Adequação da planilha para a nova metodologia de cálculo do IR para 2026</t>
  </si>
  <si>
    <t>13.2026.3</t>
  </si>
  <si>
    <t>13.2026.4</t>
  </si>
  <si>
    <t>Inclusão da célula do líquido a pagar para a bolsa, L21</t>
  </si>
  <si>
    <t>Retirei o cálculo do valor para colaborador, pois envolve outras análises, que não são o foco principal desta planilha</t>
  </si>
  <si>
    <t xml:space="preserve">Referência (nome/período): </t>
  </si>
  <si>
    <t>lançar a base de cálculo na dedução do SIAFI - DDF054</t>
  </si>
  <si>
    <t>Valor a ser lançado na retenção de IR da liquidação da bolsa - DDF054</t>
  </si>
  <si>
    <t>Revisão 13.2026.5 - 09/07/2026</t>
  </si>
  <si>
    <t>Correção nas observações em vermelho, de DDF009 para DDF054</t>
  </si>
  <si>
    <t>13.2026.5</t>
  </si>
</sst>
</file>

<file path=xl/styles.xml><?xml version="1.0" encoding="utf-8"?>
<styleSheet xmlns="http://schemas.openxmlformats.org/spreadsheetml/2006/main">
  <numFmts count="1">
    <numFmt numFmtId="164" formatCode="0.0"/>
  </numFmts>
  <fonts count="13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206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3" fillId="0" borderId="0" xfId="0" applyFont="1"/>
    <xf numFmtId="0" fontId="5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6" fillId="5" borderId="0" xfId="0" applyNumberFormat="1" applyFont="1" applyFill="1"/>
    <xf numFmtId="4" fontId="0" fillId="5" borderId="0" xfId="0" applyNumberFormat="1" applyFill="1"/>
    <xf numFmtId="0" fontId="3" fillId="5" borderId="0" xfId="0" applyFont="1" applyFill="1"/>
    <xf numFmtId="0" fontId="2" fillId="4" borderId="0" xfId="0" applyFont="1" applyFill="1"/>
    <xf numFmtId="0" fontId="8" fillId="5" borderId="0" xfId="0" applyFont="1" applyFill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2" fillId="0" borderId="0" xfId="0" applyFont="1"/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0" fontId="12" fillId="5" borderId="0" xfId="0" applyFont="1" applyFill="1"/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6" xfId="0" applyFont="1" applyFill="1" applyBorder="1" applyAlignment="1">
      <alignment horizontal="center"/>
    </xf>
    <xf numFmtId="4" fontId="10" fillId="0" borderId="1" xfId="0" applyNumberFormat="1" applyFont="1" applyBorder="1" applyAlignment="1">
      <alignment horizontal="center" vertical="center"/>
    </xf>
    <xf numFmtId="4" fontId="10" fillId="14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0" fillId="13" borderId="1" xfId="0" applyFill="1" applyBorder="1" applyAlignment="1">
      <alignment horizontal="center"/>
    </xf>
    <xf numFmtId="0" fontId="3" fillId="10" borderId="2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9" fillId="10" borderId="0" xfId="0" applyFont="1" applyFill="1" applyAlignment="1" applyProtection="1">
      <alignment horizontal="left"/>
      <protection locked="0"/>
    </xf>
    <xf numFmtId="0" fontId="7" fillId="5" borderId="0" xfId="0" applyFont="1" applyFill="1" applyAlignment="1">
      <alignment horizontal="left"/>
    </xf>
    <xf numFmtId="0" fontId="0" fillId="15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="" xmlns:a16="http://schemas.microsoft.com/office/drawing/2014/main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="" xmlns:a16="http://schemas.microsoft.com/office/drawing/2014/main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="" xmlns:a16="http://schemas.microsoft.com/office/drawing/2014/main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="" xmlns:a16="http://schemas.microsoft.com/office/drawing/2014/main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="" xmlns:a16="http://schemas.microsoft.com/office/drawing/2014/main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="" xmlns:a16="http://schemas.microsoft.com/office/drawing/2014/main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23</xdr:row>
      <xdr:rowOff>5203</xdr:rowOff>
    </xdr:from>
    <xdr:to>
      <xdr:col>7</xdr:col>
      <xdr:colOff>161925</xdr:colOff>
      <xdr:row>24</xdr:row>
      <xdr:rowOff>2354</xdr:rowOff>
    </xdr:to>
    <xdr:pic>
      <xdr:nvPicPr>
        <xdr:cNvPr id="5" name="Imagem 4">
          <a:extLst>
            <a:ext uri="{FF2B5EF4-FFF2-40B4-BE49-F238E27FC236}">
              <a16:creationId xmlns="" xmlns:a16="http://schemas.microsoft.com/office/drawing/2014/main" id="{5711C7B4-E3FE-4E55-B0A2-CA7FEC661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253353"/>
          <a:ext cx="4019550" cy="185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="" xmlns:a16="http://schemas.microsoft.com/office/drawing/2014/main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="" xmlns:a16="http://schemas.microsoft.com/office/drawing/2014/main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="" xmlns:a16="http://schemas.microsoft.com/office/drawing/2014/main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</xdr:col>
      <xdr:colOff>923925</xdr:colOff>
      <xdr:row>20</xdr:row>
      <xdr:rowOff>114300</xdr:rowOff>
    </xdr:from>
    <xdr:to>
      <xdr:col>11</xdr:col>
      <xdr:colOff>9525</xdr:colOff>
      <xdr:row>20</xdr:row>
      <xdr:rowOff>123825</xdr:rowOff>
    </xdr:to>
    <xdr:cxnSp macro="">
      <xdr:nvCxnSpPr>
        <xdr:cNvPr id="8" name="Conector de Seta Reta 7">
          <a:extLst>
            <a:ext uri="{FF2B5EF4-FFF2-40B4-BE49-F238E27FC236}">
              <a16:creationId xmlns="" xmlns:a16="http://schemas.microsoft.com/office/drawing/2014/main" id="{2B4807F4-5CE4-498D-8C24-8EBBD535D3DA}"/>
            </a:ext>
          </a:extLst>
        </xdr:cNvPr>
        <xdr:cNvCxnSpPr/>
      </xdr:nvCxnSpPr>
      <xdr:spPr>
        <a:xfrm>
          <a:off x="5353050" y="3981450"/>
          <a:ext cx="171450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2"/>
  <sheetViews>
    <sheetView showGridLines="0" workbookViewId="0">
      <selection activeCell="J1" sqref="J1:O2"/>
    </sheetView>
  </sheetViews>
  <sheetFormatPr defaultRowHeight="14.25"/>
  <cols>
    <col min="1" max="4" width="11.625" customWidth="1"/>
    <col min="6" max="6" width="0.125" customWidth="1"/>
    <col min="7" max="7" width="2.25" customWidth="1"/>
    <col min="9" max="9" width="15.375" customWidth="1"/>
    <col min="10" max="10" width="13.75" customWidth="1"/>
    <col min="12" max="12" width="11.125" customWidth="1"/>
    <col min="13" max="13" width="10.25" customWidth="1"/>
    <col min="19" max="19" width="2.25" customWidth="1"/>
    <col min="21" max="21" width="13.75" customWidth="1"/>
  </cols>
  <sheetData>
    <row r="1" spans="1:21" ht="15">
      <c r="A1" s="40" t="s">
        <v>0</v>
      </c>
      <c r="B1" s="41"/>
      <c r="C1" s="41"/>
      <c r="D1" s="42"/>
      <c r="E1" s="48" t="s">
        <v>26</v>
      </c>
      <c r="F1" s="49"/>
      <c r="G1" s="49"/>
      <c r="H1" s="49"/>
      <c r="I1" s="50"/>
      <c r="J1" s="47" t="s">
        <v>23</v>
      </c>
      <c r="K1" s="47"/>
      <c r="L1" s="47"/>
      <c r="M1" s="47"/>
      <c r="N1" s="47"/>
      <c r="O1" s="47"/>
    </row>
    <row r="2" spans="1:21">
      <c r="E2" s="10"/>
      <c r="J2" s="47"/>
      <c r="K2" s="47"/>
      <c r="L2" s="47"/>
      <c r="M2" s="47"/>
      <c r="N2" s="47"/>
      <c r="O2" s="47"/>
    </row>
    <row r="3" spans="1:21" ht="1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46" t="s">
        <v>16</v>
      </c>
      <c r="I3" s="46"/>
      <c r="J3" s="46"/>
      <c r="K3" s="46"/>
      <c r="L3" s="46"/>
      <c r="M3" s="46"/>
      <c r="N3" s="46"/>
      <c r="O3" s="46"/>
      <c r="P3" s="46"/>
      <c r="Q3" s="46"/>
      <c r="R3" s="46"/>
      <c r="S3" s="9"/>
    </row>
    <row r="4" spans="1:21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43" t="s">
        <v>7</v>
      </c>
      <c r="J5" s="43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>
      <c r="A10" s="45" t="s">
        <v>5</v>
      </c>
      <c r="B10" s="45"/>
      <c r="C10" s="45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ht="15">
      <c r="G11" s="9"/>
      <c r="H11" s="46" t="s">
        <v>22</v>
      </c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9"/>
    </row>
    <row r="12" spans="1:21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>
      <c r="G15" s="9"/>
      <c r="H15" s="4"/>
      <c r="I15" s="44" t="s">
        <v>13</v>
      </c>
      <c r="J15" s="44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>
      <c r="G16" s="9"/>
      <c r="H16" s="4"/>
      <c r="I16" s="43" t="s">
        <v>8</v>
      </c>
      <c r="J16" s="43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X25"/>
  <sheetViews>
    <sheetView showGridLines="0" tabSelected="1" zoomScale="80" zoomScaleNormal="80" workbookViewId="0">
      <selection activeCell="Q6" sqref="Q6"/>
    </sheetView>
  </sheetViews>
  <sheetFormatPr defaultRowHeight="14.25"/>
  <cols>
    <col min="1" max="4" width="11.625" customWidth="1"/>
    <col min="6" max="6" width="0.125" customWidth="1"/>
    <col min="7" max="7" width="2.25" customWidth="1"/>
    <col min="8" max="8" width="8.625" customWidth="1"/>
    <col min="9" max="9" width="15.375" customWidth="1"/>
    <col min="10" max="10" width="13.75" customWidth="1"/>
    <col min="11" max="11" width="10.25" customWidth="1"/>
    <col min="12" max="12" width="11.125" customWidth="1"/>
    <col min="13" max="13" width="10.25" customWidth="1"/>
    <col min="16" max="16" width="10.75" customWidth="1"/>
    <col min="18" max="18" width="14.875" customWidth="1"/>
    <col min="19" max="19" width="2.25" customWidth="1"/>
    <col min="20" max="20" width="0" hidden="1" customWidth="1"/>
    <col min="21" max="21" width="13.75" hidden="1" customWidth="1"/>
    <col min="22" max="22" width="15" hidden="1" customWidth="1"/>
    <col min="23" max="23" width="31.75" hidden="1" customWidth="1"/>
    <col min="24" max="24" width="30.375" hidden="1" customWidth="1"/>
  </cols>
  <sheetData>
    <row r="1" spans="1:24" ht="15">
      <c r="A1" s="40" t="s">
        <v>42</v>
      </c>
      <c r="B1" s="41"/>
      <c r="C1" s="41"/>
      <c r="D1" s="42"/>
      <c r="E1" s="63" t="s">
        <v>61</v>
      </c>
      <c r="F1" s="64"/>
      <c r="G1" s="64"/>
      <c r="H1" s="64"/>
      <c r="I1" s="65"/>
      <c r="J1" s="67" t="s">
        <v>37</v>
      </c>
      <c r="K1" s="67"/>
      <c r="L1" s="67"/>
      <c r="M1" s="67"/>
      <c r="N1" s="67"/>
      <c r="O1" s="67"/>
    </row>
    <row r="2" spans="1:24">
      <c r="A2" s="55" t="s">
        <v>38</v>
      </c>
      <c r="B2" s="55"/>
      <c r="C2" s="55"/>
      <c r="D2" s="55"/>
      <c r="E2" s="10"/>
      <c r="J2" s="67"/>
      <c r="K2" s="67"/>
      <c r="L2" s="67"/>
      <c r="M2" s="67"/>
      <c r="N2" s="67"/>
      <c r="O2" s="67"/>
      <c r="V2" s="40" t="s">
        <v>35</v>
      </c>
      <c r="W2" s="41"/>
      <c r="X2" s="42"/>
    </row>
    <row r="3" spans="1:24" ht="15">
      <c r="A3" s="1" t="s">
        <v>1</v>
      </c>
      <c r="B3" s="1" t="s">
        <v>2</v>
      </c>
      <c r="C3" s="1" t="s">
        <v>3</v>
      </c>
      <c r="D3" s="1" t="s">
        <v>4</v>
      </c>
      <c r="E3" s="10"/>
      <c r="G3" s="30"/>
      <c r="H3" s="62" t="s">
        <v>31</v>
      </c>
      <c r="I3" s="62"/>
      <c r="J3" s="62"/>
      <c r="K3" s="62"/>
      <c r="L3" s="62"/>
      <c r="M3" s="62"/>
      <c r="N3" s="62"/>
      <c r="O3" s="62"/>
      <c r="P3" s="62"/>
      <c r="Q3" s="62"/>
      <c r="R3" s="62"/>
      <c r="S3" s="30"/>
      <c r="V3" s="59" t="s">
        <v>32</v>
      </c>
      <c r="W3" s="60"/>
      <c r="X3" s="61"/>
    </row>
    <row r="4" spans="1:24" ht="18.75" customHeight="1">
      <c r="A4" s="2"/>
      <c r="B4" s="2">
        <v>2428.8000000000002</v>
      </c>
      <c r="C4" s="3">
        <v>0</v>
      </c>
      <c r="D4" s="2">
        <v>0</v>
      </c>
      <c r="E4" s="11"/>
      <c r="G4" s="3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30"/>
      <c r="V4" s="26" t="s">
        <v>33</v>
      </c>
      <c r="W4" s="27" t="s">
        <v>34</v>
      </c>
      <c r="X4" s="28" t="s">
        <v>41</v>
      </c>
    </row>
    <row r="5" spans="1:24">
      <c r="A5" s="2">
        <v>2428.81</v>
      </c>
      <c r="B5" s="2">
        <v>2826.65</v>
      </c>
      <c r="C5" s="3">
        <v>7.5</v>
      </c>
      <c r="D5" s="2">
        <v>182.16</v>
      </c>
      <c r="E5" s="11"/>
      <c r="G5" s="30"/>
      <c r="H5" s="4"/>
      <c r="I5" s="43" t="s">
        <v>7</v>
      </c>
      <c r="J5" s="43"/>
      <c r="K5" s="4"/>
      <c r="L5" s="15"/>
      <c r="M5" s="4"/>
      <c r="N5" s="4"/>
      <c r="O5" s="4"/>
      <c r="P5" s="4"/>
      <c r="Q5" s="4"/>
      <c r="R5" s="4"/>
      <c r="S5" s="30"/>
      <c r="U5" s="53" t="s">
        <v>36</v>
      </c>
      <c r="V5" s="51">
        <v>0</v>
      </c>
      <c r="W5" s="51" t="e">
        <f>$X$5-$W$8</f>
        <v>#VALUE!</v>
      </c>
      <c r="X5" s="51" t="e">
        <f>IF(L8&lt;=$B$4,0,IF(AND(L8&gt;=$A$5,L8&lt;=$B$5),TRUNC(L8*$C$5/100-$D$5,2),IF(AND(L8&gt;=$A$6,L8&lt;=$B$6),TRUNC(L8*$C$6/100-$D$6,2),IF(AND(L8&gt;=$A$7,L8&lt;=$B$7),TRUNC(L8*$C$7/100-$D$7,2),IF(L8&gt;=$A$8,TRUNC(L8*$C$8/100-$D$8,2),"")))))</f>
        <v>#VALUE!</v>
      </c>
    </row>
    <row r="6" spans="1:24">
      <c r="A6" s="2">
        <v>2826.66</v>
      </c>
      <c r="B6" s="2">
        <v>3751.05</v>
      </c>
      <c r="C6" s="3">
        <v>15</v>
      </c>
      <c r="D6" s="2">
        <v>394.16</v>
      </c>
      <c r="E6" s="11"/>
      <c r="G6" s="30"/>
      <c r="H6" s="4"/>
      <c r="I6" s="4" t="s">
        <v>8</v>
      </c>
      <c r="J6" s="4"/>
      <c r="K6" s="4"/>
      <c r="L6" s="15"/>
      <c r="M6" s="4"/>
      <c r="N6" s="44" t="s">
        <v>27</v>
      </c>
      <c r="O6" s="44"/>
      <c r="P6" s="66"/>
      <c r="Q6" s="7">
        <f>IF(L6+P7&lt;C11,C11,L6+P7)</f>
        <v>607.20000000000005</v>
      </c>
      <c r="R6" s="4"/>
      <c r="S6" s="30"/>
      <c r="U6" s="53"/>
      <c r="V6" s="51"/>
      <c r="W6" s="51"/>
      <c r="X6" s="51"/>
    </row>
    <row r="7" spans="1:24">
      <c r="A7" s="2">
        <v>3751.06</v>
      </c>
      <c r="B7" s="2">
        <v>4664.68</v>
      </c>
      <c r="C7" s="3">
        <v>22.5</v>
      </c>
      <c r="D7" s="2">
        <v>675.49</v>
      </c>
      <c r="E7" s="11"/>
      <c r="G7" s="30"/>
      <c r="H7" s="4"/>
      <c r="I7" s="4" t="s">
        <v>9</v>
      </c>
      <c r="J7" s="4"/>
      <c r="K7" s="4"/>
      <c r="L7" s="16"/>
      <c r="M7" s="4" t="s">
        <v>10</v>
      </c>
      <c r="N7" s="4"/>
      <c r="O7" s="4"/>
      <c r="P7" s="7">
        <f>L7*D10</f>
        <v>0</v>
      </c>
      <c r="Q7" s="4"/>
      <c r="R7" s="4"/>
      <c r="S7" s="30"/>
      <c r="W7" s="23" t="s">
        <v>39</v>
      </c>
    </row>
    <row r="8" spans="1:24">
      <c r="A8" s="2">
        <v>4664.68</v>
      </c>
      <c r="B8" s="2"/>
      <c r="C8" s="3">
        <v>27.5</v>
      </c>
      <c r="D8" s="2">
        <v>908.73</v>
      </c>
      <c r="E8" s="11"/>
      <c r="G8" s="30"/>
      <c r="H8" s="4"/>
      <c r="I8" s="4" t="s">
        <v>11</v>
      </c>
      <c r="J8" s="4"/>
      <c r="K8" s="4"/>
      <c r="L8" s="7" t="str">
        <f>IF(AND(L5&gt;0,L6&gt;0),L5-Q6,"")</f>
        <v/>
      </c>
      <c r="M8" s="4"/>
      <c r="N8" s="4"/>
      <c r="O8" s="4"/>
      <c r="P8" s="4"/>
      <c r="Q8" s="4"/>
      <c r="R8" s="4"/>
      <c r="S8" s="30"/>
      <c r="W8" s="52">
        <f>IF(AND(L5&gt;5000,L5&lt;=7350),978.62-(0.133145*L5),0)</f>
        <v>0</v>
      </c>
    </row>
    <row r="9" spans="1:24">
      <c r="E9" s="10"/>
      <c r="G9" s="30"/>
      <c r="H9" s="4"/>
      <c r="I9" s="4" t="s">
        <v>6</v>
      </c>
      <c r="J9" s="7">
        <f>IF(L5&lt;=5000,V5,IF(AND(L5&gt;5000,L5&lt;=7350),W5,X5))</f>
        <v>0</v>
      </c>
      <c r="K9" s="4"/>
      <c r="L9" s="5" t="s">
        <v>28</v>
      </c>
      <c r="M9" s="4"/>
      <c r="N9" s="4"/>
      <c r="O9" s="4"/>
      <c r="P9" s="4"/>
      <c r="Q9" s="4"/>
      <c r="R9" s="4"/>
      <c r="S9" s="30"/>
      <c r="U9" s="12"/>
      <c r="W9" s="52"/>
    </row>
    <row r="10" spans="1:24">
      <c r="A10" s="45" t="s">
        <v>5</v>
      </c>
      <c r="B10" s="45"/>
      <c r="C10" s="45"/>
      <c r="D10" s="2">
        <v>189.59</v>
      </c>
      <c r="E10" s="11"/>
      <c r="G10" s="30"/>
      <c r="H10" s="4"/>
      <c r="I10" s="4" t="s">
        <v>20</v>
      </c>
      <c r="J10" s="7">
        <f>L5-L6-J9</f>
        <v>0</v>
      </c>
      <c r="K10" s="4"/>
      <c r="L10" s="5" t="s">
        <v>29</v>
      </c>
      <c r="M10" s="4"/>
      <c r="N10" s="4"/>
      <c r="O10" s="4"/>
      <c r="P10" s="4"/>
      <c r="Q10" s="4"/>
      <c r="R10" s="4"/>
      <c r="S10" s="30"/>
      <c r="W10" s="29" t="s">
        <v>40</v>
      </c>
    </row>
    <row r="11" spans="1:24" ht="15">
      <c r="A11" s="40" t="s">
        <v>30</v>
      </c>
      <c r="B11" s="42"/>
      <c r="C11" s="2">
        <v>607.20000000000005</v>
      </c>
      <c r="G11" s="30"/>
      <c r="H11" s="62" t="s">
        <v>22</v>
      </c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30"/>
    </row>
    <row r="12" spans="1:24">
      <c r="G12" s="30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30"/>
    </row>
    <row r="13" spans="1:24" ht="15">
      <c r="A13" s="14" t="s">
        <v>21</v>
      </c>
      <c r="G13" s="30"/>
      <c r="H13" s="4"/>
      <c r="I13" s="4" t="s">
        <v>12</v>
      </c>
      <c r="J13" s="15"/>
      <c r="K13" s="4"/>
      <c r="L13" s="4" t="s">
        <v>14</v>
      </c>
      <c r="M13" s="7">
        <f>TRUNC(J13*0.11,2)</f>
        <v>0</v>
      </c>
      <c r="N13" s="18" t="str">
        <f>IF(AND(TRUNC(J13*0.11,2)+Q6&lt;C11,J13&lt;&gt;"",J13&gt;0),C11,IF(AND(TRUNC(J13*0.11,2)+Q6&gt;=C11,J13&lt;&gt;"",J13&gt;0),TRUNC(J13*0.11,2)+Q6,""))</f>
        <v/>
      </c>
      <c r="O13" s="4" t="s">
        <v>15</v>
      </c>
      <c r="P13" s="4"/>
      <c r="Q13" s="7">
        <f>TRUNC(J13*0.2,2)</f>
        <v>0</v>
      </c>
      <c r="R13" s="4"/>
      <c r="S13" s="30"/>
      <c r="V13" s="56" t="s">
        <v>43</v>
      </c>
      <c r="W13" s="57"/>
      <c r="X13" s="58"/>
    </row>
    <row r="14" spans="1:24">
      <c r="G14" s="3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0"/>
      <c r="V14" s="59" t="s">
        <v>32</v>
      </c>
      <c r="W14" s="60"/>
      <c r="X14" s="61"/>
    </row>
    <row r="15" spans="1:24">
      <c r="G15" s="30"/>
      <c r="H15" s="4"/>
      <c r="I15" s="44" t="s">
        <v>13</v>
      </c>
      <c r="J15" s="44"/>
      <c r="K15" s="4"/>
      <c r="L15" s="7">
        <f>L5+J13</f>
        <v>0</v>
      </c>
      <c r="M15" s="4"/>
      <c r="N15" s="4"/>
      <c r="O15" s="4"/>
      <c r="P15" s="4"/>
      <c r="Q15" s="4"/>
      <c r="R15" s="4"/>
      <c r="S15" s="30"/>
      <c r="V15" s="26" t="s">
        <v>33</v>
      </c>
      <c r="W15" s="27" t="s">
        <v>34</v>
      </c>
      <c r="X15" s="28" t="s">
        <v>41</v>
      </c>
    </row>
    <row r="16" spans="1:24">
      <c r="G16" s="30"/>
      <c r="H16" s="4"/>
      <c r="I16" s="43" t="s">
        <v>8</v>
      </c>
      <c r="J16" s="43"/>
      <c r="K16" s="4"/>
      <c r="L16" s="7">
        <f>IF(L6+M13&lt;C11,C11,L6+M13)</f>
        <v>607.20000000000005</v>
      </c>
      <c r="M16" s="4"/>
      <c r="N16" s="4"/>
      <c r="O16" s="4"/>
      <c r="P16" s="4"/>
      <c r="Q16" s="4"/>
      <c r="R16" s="4"/>
      <c r="S16" s="30"/>
      <c r="T16" s="53" t="s">
        <v>44</v>
      </c>
      <c r="U16" s="54"/>
      <c r="V16" s="51">
        <v>0</v>
      </c>
      <c r="W16" s="51" t="e">
        <f>$X$16-W19</f>
        <v>#VALUE!</v>
      </c>
      <c r="X16" s="51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</row>
    <row r="17" spans="1:24">
      <c r="G17" s="30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30"/>
      <c r="T17" s="53"/>
      <c r="U17" s="54"/>
      <c r="V17" s="51"/>
      <c r="W17" s="51"/>
      <c r="X17" s="51"/>
    </row>
    <row r="18" spans="1:24">
      <c r="G18" s="30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30"/>
      <c r="W18" s="23" t="s">
        <v>39</v>
      </c>
    </row>
    <row r="19" spans="1:24" ht="15.75" customHeight="1">
      <c r="G19" s="30"/>
      <c r="H19" s="4"/>
      <c r="I19" s="4" t="s">
        <v>17</v>
      </c>
      <c r="J19" s="4"/>
      <c r="K19" s="4"/>
      <c r="L19" s="7">
        <f>J13-M13</f>
        <v>0</v>
      </c>
      <c r="M19" s="5" t="s">
        <v>59</v>
      </c>
      <c r="N19" s="4"/>
      <c r="O19" s="4"/>
      <c r="P19" s="4"/>
      <c r="Q19" s="4"/>
      <c r="R19" s="4"/>
      <c r="S19" s="30"/>
      <c r="W19" s="52">
        <f>IF(AND(L15&gt;5000,L15&lt;=7350),978.62-(0.133145*L15),0)</f>
        <v>0</v>
      </c>
    </row>
    <row r="20" spans="1:24" ht="15">
      <c r="G20" s="30"/>
      <c r="H20" s="4"/>
      <c r="I20" s="69" t="s">
        <v>6</v>
      </c>
      <c r="J20" s="69"/>
      <c r="K20" s="4"/>
      <c r="L20" s="7">
        <f>IF(AND(L5&lt;&gt;0,L6&lt;&gt;0),IF(L15&lt;=5000,V16,IF(AND(L15&gt;5000,L15&lt;=7350),W16,X16)),0)</f>
        <v>0</v>
      </c>
      <c r="M20" s="5" t="s">
        <v>60</v>
      </c>
      <c r="N20" s="4"/>
      <c r="O20" s="4"/>
      <c r="P20" s="4"/>
      <c r="Q20" s="4"/>
      <c r="R20" s="4"/>
      <c r="S20" s="30"/>
      <c r="U20" s="12"/>
      <c r="W20" s="52"/>
    </row>
    <row r="21" spans="1:24" ht="15">
      <c r="A21" s="13" t="s">
        <v>24</v>
      </c>
      <c r="G21" s="30"/>
      <c r="H21" s="4"/>
      <c r="I21" s="35" t="s">
        <v>20</v>
      </c>
      <c r="J21" s="20"/>
      <c r="K21" s="20"/>
      <c r="L21" s="7">
        <f>J13-M13-L20</f>
        <v>0</v>
      </c>
      <c r="M21" s="22"/>
      <c r="N21" s="22"/>
      <c r="O21" s="22"/>
      <c r="P21" s="22"/>
      <c r="Q21" s="22"/>
      <c r="R21" s="4"/>
      <c r="S21" s="30"/>
      <c r="W21" s="29" t="s">
        <v>40</v>
      </c>
    </row>
    <row r="22" spans="1:24" ht="15">
      <c r="A22" s="13"/>
      <c r="G22" s="30"/>
      <c r="H22" s="4"/>
      <c r="I22" s="35"/>
      <c r="J22" s="20"/>
      <c r="K22" s="20"/>
      <c r="L22" s="22"/>
      <c r="M22" s="22"/>
      <c r="N22" s="22"/>
      <c r="O22" s="22"/>
      <c r="P22" s="22"/>
      <c r="Q22" s="22"/>
      <c r="R22" s="4"/>
      <c r="S22" s="30"/>
      <c r="W22" s="29"/>
    </row>
    <row r="23" spans="1:24">
      <c r="G23" s="30"/>
      <c r="H23" s="70" t="s">
        <v>49</v>
      </c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30"/>
    </row>
    <row r="24" spans="1:24">
      <c r="L24" s="21"/>
    </row>
    <row r="25" spans="1:24" ht="15">
      <c r="G25" s="68" t="s">
        <v>58</v>
      </c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</row>
  </sheetData>
  <sheetProtection password="C60F" sheet="1" objects="1" scenarios="1"/>
  <mergeCells count="29">
    <mergeCell ref="G25:S25"/>
    <mergeCell ref="I20:J20"/>
    <mergeCell ref="I15:J15"/>
    <mergeCell ref="I16:J16"/>
    <mergeCell ref="H23:R23"/>
    <mergeCell ref="E1:I1"/>
    <mergeCell ref="N6:P6"/>
    <mergeCell ref="A11:B11"/>
    <mergeCell ref="A1:D1"/>
    <mergeCell ref="J1:O2"/>
    <mergeCell ref="H3:R3"/>
    <mergeCell ref="I5:J5"/>
    <mergeCell ref="A10:C10"/>
    <mergeCell ref="U5:U6"/>
    <mergeCell ref="A2:D2"/>
    <mergeCell ref="W8:W9"/>
    <mergeCell ref="V13:X13"/>
    <mergeCell ref="V14:X14"/>
    <mergeCell ref="V2:X2"/>
    <mergeCell ref="V3:X3"/>
    <mergeCell ref="X5:X6"/>
    <mergeCell ref="W5:W6"/>
    <mergeCell ref="V5:V6"/>
    <mergeCell ref="H11:R11"/>
    <mergeCell ref="V16:V17"/>
    <mergeCell ref="W16:W17"/>
    <mergeCell ref="X16:X17"/>
    <mergeCell ref="W19:W20"/>
    <mergeCell ref="T16:U17"/>
  </mergeCells>
  <pageMargins left="0.19685039370078741" right="0.19685039370078741" top="0.31496062992125984" bottom="0.78740157480314965" header="0.31496062992125984" footer="0.31496062992125984"/>
  <pageSetup paperSize="9" scale="72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selection activeCell="C7" sqref="C7"/>
    </sheetView>
  </sheetViews>
  <sheetFormatPr defaultRowHeight="14.25"/>
  <cols>
    <col min="1" max="1" width="14.625" style="24" customWidth="1"/>
    <col min="2" max="2" width="12.625" style="24" customWidth="1"/>
    <col min="3" max="3" width="79.25" style="24" customWidth="1"/>
  </cols>
  <sheetData>
    <row r="1" spans="1:3">
      <c r="A1" s="31" t="s">
        <v>45</v>
      </c>
      <c r="B1" s="25" t="s">
        <v>46</v>
      </c>
      <c r="C1" s="25" t="s">
        <v>47</v>
      </c>
    </row>
    <row r="2" spans="1:3">
      <c r="A2" s="32">
        <v>46043</v>
      </c>
      <c r="B2" s="24" t="s">
        <v>48</v>
      </c>
      <c r="C2" s="24" t="s">
        <v>53</v>
      </c>
    </row>
    <row r="3" spans="1:3">
      <c r="A3" s="34">
        <v>46046</v>
      </c>
      <c r="B3" s="33" t="s">
        <v>50</v>
      </c>
      <c r="C3" s="33" t="s">
        <v>51</v>
      </c>
    </row>
    <row r="4" spans="1:3">
      <c r="A4" s="32"/>
      <c r="C4" s="24" t="s">
        <v>52</v>
      </c>
    </row>
    <row r="5" spans="1:3" s="39" customFormat="1" ht="28.5">
      <c r="A5" s="36">
        <v>46052</v>
      </c>
      <c r="B5" s="37" t="s">
        <v>54</v>
      </c>
      <c r="C5" s="38" t="s">
        <v>57</v>
      </c>
    </row>
    <row r="6" spans="1:3">
      <c r="A6" s="32">
        <v>46056</v>
      </c>
      <c r="B6" s="32" t="s">
        <v>55</v>
      </c>
      <c r="C6" s="24" t="s">
        <v>56</v>
      </c>
    </row>
    <row r="7" spans="1:3">
      <c r="A7" s="34">
        <v>46212</v>
      </c>
      <c r="B7" s="33" t="s">
        <v>63</v>
      </c>
      <c r="C7" s="33" t="s">
        <v>62</v>
      </c>
    </row>
    <row r="9" spans="1:3">
      <c r="A9" s="33"/>
      <c r="B9" s="33"/>
      <c r="C9" s="33"/>
    </row>
    <row r="11" spans="1:3">
      <c r="A11" s="33"/>
      <c r="B11" s="33"/>
      <c r="C11" s="33"/>
    </row>
  </sheetData>
  <sheetProtection password="C60F" sheet="1" objects="1" scenarios="1"/>
  <phoneticPr fontId="1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Simulador  IR 2024</vt:lpstr>
      <vt:lpstr>Simulador IR 2025</vt:lpstr>
      <vt:lpstr>Controle de revisão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Jrod</cp:lastModifiedBy>
  <cp:lastPrinted>2026-06-17T13:41:32Z</cp:lastPrinted>
  <dcterms:created xsi:type="dcterms:W3CDTF">2025-03-31T18:44:38Z</dcterms:created>
  <dcterms:modified xsi:type="dcterms:W3CDTF">2026-07-09T16:39:28Z</dcterms:modified>
</cp:coreProperties>
</file>