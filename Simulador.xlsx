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160" firstSheet="1" activeTab="1"/>
  </bookViews>
  <sheets>
    <sheet name="Simulador  IR 2024" sheetId="1" state="hidden" r:id="rId1"/>
    <sheet name="Simulador IR 2025" sheetId="3" r:id="rId2"/>
    <sheet name="Controle de revisão" sheetId="4" state="hidden" r:id="rId3"/>
    <sheet name="Tabela CBO" sheetId="5" state="hidden" r:id="rId4"/>
    <sheet name="Plan1" sheetId="6" r:id="rId5"/>
  </sheets>
  <definedNames>
    <definedName name="ListaCBO">OFFSET('Tabela CBO'!$D$3, 0, 0, COUNTIF('Tabela CBO'!$D$3:$D$100, "?*"), 1)</definedName>
  </definedNames>
  <calcPr calcId="124519" iterateDelta="1E-4"/>
</workbook>
</file>

<file path=xl/calcChain.xml><?xml version="1.0" encoding="utf-8"?>
<calcChain xmlns="http://schemas.openxmlformats.org/spreadsheetml/2006/main">
  <c r="B4" i="5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153"/>
  <c r="B154"/>
  <c r="B155"/>
  <c r="B156"/>
  <c r="B157"/>
  <c r="B158"/>
  <c r="B159"/>
  <c r="B160"/>
  <c r="B161"/>
  <c r="B162"/>
  <c r="B163"/>
  <c r="B164"/>
  <c r="B165"/>
  <c r="B166"/>
  <c r="B167"/>
  <c r="B168"/>
  <c r="B169"/>
  <c r="B170"/>
  <c r="B171"/>
  <c r="B172"/>
  <c r="B173"/>
  <c r="B174"/>
  <c r="B175"/>
  <c r="B176"/>
  <c r="B177"/>
  <c r="B178"/>
  <c r="B179"/>
  <c r="B180"/>
  <c r="B181"/>
  <c r="B182"/>
  <c r="B183"/>
  <c r="B184"/>
  <c r="B185"/>
  <c r="B186"/>
  <c r="B187"/>
  <c r="B188"/>
  <c r="B189"/>
  <c r="B190"/>
  <c r="B191"/>
  <c r="B192"/>
  <c r="B193"/>
  <c r="B194"/>
  <c r="B195"/>
  <c r="B196"/>
  <c r="B197"/>
  <c r="B198"/>
  <c r="B199"/>
  <c r="B200"/>
  <c r="B201"/>
  <c r="B202"/>
  <c r="B203"/>
  <c r="B204"/>
  <c r="B205"/>
  <c r="B206"/>
  <c r="B207"/>
  <c r="B208"/>
  <c r="B209"/>
  <c r="B210"/>
  <c r="B211"/>
  <c r="B212"/>
  <c r="B213"/>
  <c r="B214"/>
  <c r="B215"/>
  <c r="B216"/>
  <c r="B217"/>
  <c r="B218"/>
  <c r="B219"/>
  <c r="B220"/>
  <c r="B221"/>
  <c r="B222"/>
  <c r="B223"/>
  <c r="B224"/>
  <c r="B225"/>
  <c r="B226"/>
  <c r="B227"/>
  <c r="B228"/>
  <c r="B229"/>
  <c r="B230"/>
  <c r="B231"/>
  <c r="B232"/>
  <c r="B233"/>
  <c r="B234"/>
  <c r="B235"/>
  <c r="B236"/>
  <c r="B237"/>
  <c r="B238"/>
  <c r="B239"/>
  <c r="B240"/>
  <c r="B241"/>
  <c r="B242"/>
  <c r="B243"/>
  <c r="B244"/>
  <c r="B245"/>
  <c r="B246"/>
  <c r="B247"/>
  <c r="B248"/>
  <c r="B249"/>
  <c r="B250"/>
  <c r="B251"/>
  <c r="B252"/>
  <c r="B253"/>
  <c r="B254"/>
  <c r="B255"/>
  <c r="B256"/>
  <c r="B257"/>
  <c r="B258"/>
  <c r="B259"/>
  <c r="B260"/>
  <c r="B261"/>
  <c r="B262"/>
  <c r="B263"/>
  <c r="B264"/>
  <c r="B265"/>
  <c r="B266"/>
  <c r="B267"/>
  <c r="B268"/>
  <c r="B269"/>
  <c r="B270"/>
  <c r="B271"/>
  <c r="B272"/>
  <c r="B273"/>
  <c r="B274"/>
  <c r="B275"/>
  <c r="B276"/>
  <c r="B277"/>
  <c r="B278"/>
  <c r="B279"/>
  <c r="B280"/>
  <c r="B281"/>
  <c r="B282"/>
  <c r="B283"/>
  <c r="B284"/>
  <c r="B285"/>
  <c r="B286"/>
  <c r="B287"/>
  <c r="B288"/>
  <c r="B289"/>
  <c r="B290"/>
  <c r="B291"/>
  <c r="B292"/>
  <c r="B293"/>
  <c r="B294"/>
  <c r="B295"/>
  <c r="B296"/>
  <c r="B297"/>
  <c r="B298"/>
  <c r="B299"/>
  <c r="B300"/>
  <c r="B301"/>
  <c r="B302"/>
  <c r="B303"/>
  <c r="B304"/>
  <c r="B305"/>
  <c r="B306"/>
  <c r="B307"/>
  <c r="B308"/>
  <c r="B309"/>
  <c r="B310"/>
  <c r="B311"/>
  <c r="B312"/>
  <c r="B313"/>
  <c r="B314"/>
  <c r="B315"/>
  <c r="B316"/>
  <c r="B317"/>
  <c r="B318"/>
  <c r="B319"/>
  <c r="B320"/>
  <c r="B321"/>
  <c r="B322"/>
  <c r="B323"/>
  <c r="B324"/>
  <c r="B325"/>
  <c r="B326"/>
  <c r="B327"/>
  <c r="B328"/>
  <c r="B329"/>
  <c r="B330"/>
  <c r="B331"/>
  <c r="B332"/>
  <c r="B333"/>
  <c r="B334"/>
  <c r="B335"/>
  <c r="B336"/>
  <c r="B337"/>
  <c r="B338"/>
  <c r="B339"/>
  <c r="B340"/>
  <c r="B341"/>
  <c r="B342"/>
  <c r="B343"/>
  <c r="B344"/>
  <c r="B345"/>
  <c r="B346"/>
  <c r="B347"/>
  <c r="B348"/>
  <c r="B349"/>
  <c r="B350"/>
  <c r="B351"/>
  <c r="B352"/>
  <c r="B353"/>
  <c r="B354"/>
  <c r="B355"/>
  <c r="B356"/>
  <c r="B357"/>
  <c r="B358"/>
  <c r="B359"/>
  <c r="B360"/>
  <c r="B361"/>
  <c r="B362"/>
  <c r="B363"/>
  <c r="B364"/>
  <c r="B365"/>
  <c r="B366"/>
  <c r="B367"/>
  <c r="B368"/>
  <c r="B369"/>
  <c r="B370"/>
  <c r="B371"/>
  <c r="B372"/>
  <c r="B373"/>
  <c r="B374"/>
  <c r="B375"/>
  <c r="B376"/>
  <c r="B377"/>
  <c r="B378"/>
  <c r="B379"/>
  <c r="B380"/>
  <c r="B381"/>
  <c r="B382"/>
  <c r="B383"/>
  <c r="B384"/>
  <c r="B385"/>
  <c r="B386"/>
  <c r="B387"/>
  <c r="B388"/>
  <c r="B389"/>
  <c r="B390"/>
  <c r="B391"/>
  <c r="B392"/>
  <c r="B393"/>
  <c r="B394"/>
  <c r="B395"/>
  <c r="B396"/>
  <c r="B397"/>
  <c r="B398"/>
  <c r="B399"/>
  <c r="B400"/>
  <c r="B401"/>
  <c r="B402"/>
  <c r="B403"/>
  <c r="B404"/>
  <c r="B405"/>
  <c r="B406"/>
  <c r="B407"/>
  <c r="B408"/>
  <c r="B409"/>
  <c r="B410"/>
  <c r="B411"/>
  <c r="B412"/>
  <c r="B413"/>
  <c r="B414"/>
  <c r="B415"/>
  <c r="B416"/>
  <c r="B417"/>
  <c r="B418"/>
  <c r="B419"/>
  <c r="B420"/>
  <c r="B421"/>
  <c r="B422"/>
  <c r="B423"/>
  <c r="B424"/>
  <c r="B425"/>
  <c r="B426"/>
  <c r="B427"/>
  <c r="B428"/>
  <c r="B429"/>
  <c r="B430"/>
  <c r="B431"/>
  <c r="B432"/>
  <c r="B433"/>
  <c r="B434"/>
  <c r="B435"/>
  <c r="B436"/>
  <c r="B437"/>
  <c r="B438"/>
  <c r="B439"/>
  <c r="B440"/>
  <c r="B441"/>
  <c r="B442"/>
  <c r="B443"/>
  <c r="B444"/>
  <c r="B445"/>
  <c r="B446"/>
  <c r="B447"/>
  <c r="B448"/>
  <c r="B449"/>
  <c r="B450"/>
  <c r="B451"/>
  <c r="B452"/>
  <c r="B453"/>
  <c r="B454"/>
  <c r="B455"/>
  <c r="B456"/>
  <c r="B457"/>
  <c r="B458"/>
  <c r="B459"/>
  <c r="B460"/>
  <c r="B461"/>
  <c r="B462"/>
  <c r="B463"/>
  <c r="B464"/>
  <c r="B465"/>
  <c r="B466"/>
  <c r="B467"/>
  <c r="B468"/>
  <c r="B469"/>
  <c r="B470"/>
  <c r="B471"/>
  <c r="B472"/>
  <c r="B473"/>
  <c r="B474"/>
  <c r="B475"/>
  <c r="B476"/>
  <c r="B477"/>
  <c r="B478"/>
  <c r="B479"/>
  <c r="B480"/>
  <c r="B481"/>
  <c r="B482"/>
  <c r="B483"/>
  <c r="B484"/>
  <c r="B485"/>
  <c r="B486"/>
  <c r="B487"/>
  <c r="B488"/>
  <c r="B489"/>
  <c r="B490"/>
  <c r="B491"/>
  <c r="B492"/>
  <c r="B493"/>
  <c r="B494"/>
  <c r="B495"/>
  <c r="B496"/>
  <c r="B497"/>
  <c r="B498"/>
  <c r="B499"/>
  <c r="B500"/>
  <c r="B501"/>
  <c r="B502"/>
  <c r="B503"/>
  <c r="B504"/>
  <c r="B505"/>
  <c r="B506"/>
  <c r="B507"/>
  <c r="B508"/>
  <c r="B509"/>
  <c r="B510"/>
  <c r="B511"/>
  <c r="B512"/>
  <c r="B513"/>
  <c r="B514"/>
  <c r="B515"/>
  <c r="B516"/>
  <c r="B517"/>
  <c r="B518"/>
  <c r="B519"/>
  <c r="B520"/>
  <c r="B521"/>
  <c r="B522"/>
  <c r="B523"/>
  <c r="B524"/>
  <c r="B525"/>
  <c r="B526"/>
  <c r="B527"/>
  <c r="B528"/>
  <c r="B529"/>
  <c r="B530"/>
  <c r="B531"/>
  <c r="B532"/>
  <c r="B533"/>
  <c r="B534"/>
  <c r="B535"/>
  <c r="B536"/>
  <c r="B537"/>
  <c r="B538"/>
  <c r="B539"/>
  <c r="B540"/>
  <c r="B541"/>
  <c r="B542"/>
  <c r="B543"/>
  <c r="B544"/>
  <c r="B545"/>
  <c r="B546"/>
  <c r="B547"/>
  <c r="B548"/>
  <c r="B549"/>
  <c r="B550"/>
  <c r="B551"/>
  <c r="B552"/>
  <c r="B553"/>
  <c r="B554"/>
  <c r="B555"/>
  <c r="B556"/>
  <c r="B557"/>
  <c r="B558"/>
  <c r="B559"/>
  <c r="B560"/>
  <c r="B561"/>
  <c r="B562"/>
  <c r="B563"/>
  <c r="B564"/>
  <c r="B565"/>
  <c r="B566"/>
  <c r="B567"/>
  <c r="B568"/>
  <c r="B569"/>
  <c r="B570"/>
  <c r="B571"/>
  <c r="B572"/>
  <c r="B573"/>
  <c r="B574"/>
  <c r="B575"/>
  <c r="B576"/>
  <c r="B577"/>
  <c r="B578"/>
  <c r="B579"/>
  <c r="B580"/>
  <c r="B581"/>
  <c r="B582"/>
  <c r="B583"/>
  <c r="B584"/>
  <c r="B585"/>
  <c r="B586"/>
  <c r="B587"/>
  <c r="B588"/>
  <c r="B589"/>
  <c r="B590"/>
  <c r="B591"/>
  <c r="B592"/>
  <c r="B593"/>
  <c r="B594"/>
  <c r="B595"/>
  <c r="B596"/>
  <c r="B597"/>
  <c r="B598"/>
  <c r="B599"/>
  <c r="B600"/>
  <c r="B601"/>
  <c r="B602"/>
  <c r="B603"/>
  <c r="B604"/>
  <c r="B605"/>
  <c r="B606"/>
  <c r="B607"/>
  <c r="B608"/>
  <c r="B609"/>
  <c r="B610"/>
  <c r="B611"/>
  <c r="B612"/>
  <c r="B613"/>
  <c r="B614"/>
  <c r="B615"/>
  <c r="B616"/>
  <c r="B617"/>
  <c r="B618"/>
  <c r="B619"/>
  <c r="B620"/>
  <c r="B621"/>
  <c r="B622"/>
  <c r="B623"/>
  <c r="B624"/>
  <c r="B625"/>
  <c r="B626"/>
  <c r="B627"/>
  <c r="B628"/>
  <c r="B629"/>
  <c r="B630"/>
  <c r="B631"/>
  <c r="B632"/>
  <c r="B633"/>
  <c r="B634"/>
  <c r="B635"/>
  <c r="B636"/>
  <c r="B637"/>
  <c r="B638"/>
  <c r="B639"/>
  <c r="B640"/>
  <c r="B641"/>
  <c r="B642"/>
  <c r="B643"/>
  <c r="B644"/>
  <c r="B645"/>
  <c r="B646"/>
  <c r="B647"/>
  <c r="B648"/>
  <c r="B649"/>
  <c r="B650"/>
  <c r="B651"/>
  <c r="B652"/>
  <c r="B653"/>
  <c r="B654"/>
  <c r="B655"/>
  <c r="B656"/>
  <c r="B657"/>
  <c r="B658"/>
  <c r="B659"/>
  <c r="B660"/>
  <c r="B661"/>
  <c r="B662"/>
  <c r="B663"/>
  <c r="B664"/>
  <c r="B665"/>
  <c r="B666"/>
  <c r="B667"/>
  <c r="B668"/>
  <c r="B669"/>
  <c r="B670"/>
  <c r="B671"/>
  <c r="B672"/>
  <c r="B673"/>
  <c r="B674"/>
  <c r="B675"/>
  <c r="B676"/>
  <c r="B677"/>
  <c r="B678"/>
  <c r="B679"/>
  <c r="B680"/>
  <c r="B681"/>
  <c r="B682"/>
  <c r="B683"/>
  <c r="B684"/>
  <c r="B685"/>
  <c r="B686"/>
  <c r="B687"/>
  <c r="B688"/>
  <c r="B689"/>
  <c r="B690"/>
  <c r="B691"/>
  <c r="B692"/>
  <c r="B693"/>
  <c r="B694"/>
  <c r="B695"/>
  <c r="B696"/>
  <c r="B697"/>
  <c r="B698"/>
  <c r="B699"/>
  <c r="B700"/>
  <c r="B701"/>
  <c r="B702"/>
  <c r="B703"/>
  <c r="B704"/>
  <c r="B705"/>
  <c r="B706"/>
  <c r="B707"/>
  <c r="B708"/>
  <c r="B709"/>
  <c r="B710"/>
  <c r="B711"/>
  <c r="B712"/>
  <c r="B713"/>
  <c r="B714"/>
  <c r="B715"/>
  <c r="B716"/>
  <c r="B717"/>
  <c r="B718"/>
  <c r="B719"/>
  <c r="B720"/>
  <c r="B721"/>
  <c r="B722"/>
  <c r="B723"/>
  <c r="B724"/>
  <c r="B725"/>
  <c r="B726"/>
  <c r="B727"/>
  <c r="B728"/>
  <c r="B729"/>
  <c r="B730"/>
  <c r="B731"/>
  <c r="B732"/>
  <c r="B733"/>
  <c r="B734"/>
  <c r="B735"/>
  <c r="B736"/>
  <c r="B737"/>
  <c r="B738"/>
  <c r="B739"/>
  <c r="B740"/>
  <c r="B741"/>
  <c r="B742"/>
  <c r="B743"/>
  <c r="B744"/>
  <c r="B745"/>
  <c r="B746"/>
  <c r="B747"/>
  <c r="B748"/>
  <c r="B749"/>
  <c r="B750"/>
  <c r="B751"/>
  <c r="B752"/>
  <c r="B753"/>
  <c r="B754"/>
  <c r="B755"/>
  <c r="B756"/>
  <c r="B757"/>
  <c r="B758"/>
  <c r="B759"/>
  <c r="B760"/>
  <c r="B761"/>
  <c r="B762"/>
  <c r="B763"/>
  <c r="B764"/>
  <c r="B765"/>
  <c r="B766"/>
  <c r="B767"/>
  <c r="B768"/>
  <c r="B769"/>
  <c r="B770"/>
  <c r="B771"/>
  <c r="B772"/>
  <c r="B773"/>
  <c r="B774"/>
  <c r="B775"/>
  <c r="B776"/>
  <c r="B777"/>
  <c r="B778"/>
  <c r="B779"/>
  <c r="B780"/>
  <c r="B781"/>
  <c r="B782"/>
  <c r="B783"/>
  <c r="B784"/>
  <c r="B785"/>
  <c r="B786"/>
  <c r="B787"/>
  <c r="B788"/>
  <c r="B789"/>
  <c r="B790"/>
  <c r="B791"/>
  <c r="B792"/>
  <c r="B793"/>
  <c r="B794"/>
  <c r="B795"/>
  <c r="B796"/>
  <c r="B797"/>
  <c r="B798"/>
  <c r="B799"/>
  <c r="B800"/>
  <c r="B801"/>
  <c r="B802"/>
  <c r="B803"/>
  <c r="B804"/>
  <c r="B805"/>
  <c r="B806"/>
  <c r="B807"/>
  <c r="B808"/>
  <c r="B809"/>
  <c r="B810"/>
  <c r="B811"/>
  <c r="B812"/>
  <c r="B813"/>
  <c r="B814"/>
  <c r="B815"/>
  <c r="B816"/>
  <c r="B817"/>
  <c r="B818"/>
  <c r="B819"/>
  <c r="B820"/>
  <c r="B821"/>
  <c r="B822"/>
  <c r="B823"/>
  <c r="B824"/>
  <c r="B825"/>
  <c r="B826"/>
  <c r="B827"/>
  <c r="B828"/>
  <c r="B829"/>
  <c r="B830"/>
  <c r="B831"/>
  <c r="B832"/>
  <c r="B833"/>
  <c r="B834"/>
  <c r="B835"/>
  <c r="B836"/>
  <c r="B837"/>
  <c r="B838"/>
  <c r="B839"/>
  <c r="B840"/>
  <c r="B841"/>
  <c r="B842"/>
  <c r="B843"/>
  <c r="B844"/>
  <c r="B845"/>
  <c r="B846"/>
  <c r="B847"/>
  <c r="B848"/>
  <c r="B849"/>
  <c r="B850"/>
  <c r="B851"/>
  <c r="B852"/>
  <c r="B853"/>
  <c r="B854"/>
  <c r="B855"/>
  <c r="B856"/>
  <c r="B857"/>
  <c r="B858"/>
  <c r="B859"/>
  <c r="B860"/>
  <c r="B861"/>
  <c r="B862"/>
  <c r="B863"/>
  <c r="B864"/>
  <c r="B865"/>
  <c r="B866"/>
  <c r="B867"/>
  <c r="B868"/>
  <c r="B869"/>
  <c r="B870"/>
  <c r="B871"/>
  <c r="B872"/>
  <c r="B873"/>
  <c r="B874"/>
  <c r="B875"/>
  <c r="B876"/>
  <c r="B877"/>
  <c r="B878"/>
  <c r="B879"/>
  <c r="B880"/>
  <c r="B881"/>
  <c r="B882"/>
  <c r="B883"/>
  <c r="B884"/>
  <c r="B885"/>
  <c r="B886"/>
  <c r="B887"/>
  <c r="B888"/>
  <c r="B889"/>
  <c r="B890"/>
  <c r="B891"/>
  <c r="B892"/>
  <c r="B893"/>
  <c r="B894"/>
  <c r="B895"/>
  <c r="B896"/>
  <c r="B897"/>
  <c r="B898"/>
  <c r="B899"/>
  <c r="B900"/>
  <c r="B901"/>
  <c r="B902"/>
  <c r="B903"/>
  <c r="B904"/>
  <c r="B905"/>
  <c r="B906"/>
  <c r="B907"/>
  <c r="B908"/>
  <c r="B909"/>
  <c r="B910"/>
  <c r="B911"/>
  <c r="B912"/>
  <c r="B913"/>
  <c r="B914"/>
  <c r="B915"/>
  <c r="B916"/>
  <c r="B917"/>
  <c r="B918"/>
  <c r="B919"/>
  <c r="B920"/>
  <c r="B921"/>
  <c r="B922"/>
  <c r="B923"/>
  <c r="B924"/>
  <c r="B925"/>
  <c r="B926"/>
  <c r="B927"/>
  <c r="B928"/>
  <c r="B929"/>
  <c r="B930"/>
  <c r="B931"/>
  <c r="B932"/>
  <c r="B933"/>
  <c r="B934"/>
  <c r="B935"/>
  <c r="B936"/>
  <c r="B937"/>
  <c r="B938"/>
  <c r="B939"/>
  <c r="B940"/>
  <c r="B941"/>
  <c r="B942"/>
  <c r="B943"/>
  <c r="B944"/>
  <c r="B945"/>
  <c r="B946"/>
  <c r="B947"/>
  <c r="B948"/>
  <c r="B949"/>
  <c r="B950"/>
  <c r="B951"/>
  <c r="B952"/>
  <c r="B953"/>
  <c r="B954"/>
  <c r="B955"/>
  <c r="B956"/>
  <c r="B957"/>
  <c r="B958"/>
  <c r="B959"/>
  <c r="B960"/>
  <c r="B961"/>
  <c r="B962"/>
  <c r="B963"/>
  <c r="B964"/>
  <c r="B965"/>
  <c r="B966"/>
  <c r="B967"/>
  <c r="B968"/>
  <c r="B969"/>
  <c r="B970"/>
  <c r="B971"/>
  <c r="B972"/>
  <c r="B973"/>
  <c r="B974"/>
  <c r="B975"/>
  <c r="B976"/>
  <c r="B977"/>
  <c r="B978"/>
  <c r="B979"/>
  <c r="B980"/>
  <c r="B981"/>
  <c r="B982"/>
  <c r="B983"/>
  <c r="B984"/>
  <c r="B985"/>
  <c r="B986"/>
  <c r="B987"/>
  <c r="B988"/>
  <c r="B989"/>
  <c r="B990"/>
  <c r="B991"/>
  <c r="B992"/>
  <c r="B993"/>
  <c r="B994"/>
  <c r="B995"/>
  <c r="B996"/>
  <c r="B997"/>
  <c r="B998"/>
  <c r="B999"/>
  <c r="B1000"/>
  <c r="B1001"/>
  <c r="B1002"/>
  <c r="B1003"/>
  <c r="B1004"/>
  <c r="B1005"/>
  <c r="B1006"/>
  <c r="B1007"/>
  <c r="B1008"/>
  <c r="B1009"/>
  <c r="B1010"/>
  <c r="B1011"/>
  <c r="B1012"/>
  <c r="B1013"/>
  <c r="B1014"/>
  <c r="B1015"/>
  <c r="B1016"/>
  <c r="B1017"/>
  <c r="B1018"/>
  <c r="B1019"/>
  <c r="B1020"/>
  <c r="B1021"/>
  <c r="B1022"/>
  <c r="B1023"/>
  <c r="B1024"/>
  <c r="B1025"/>
  <c r="B1026"/>
  <c r="B1027"/>
  <c r="B1028"/>
  <c r="B1029"/>
  <c r="B1030"/>
  <c r="B1031"/>
  <c r="B1032"/>
  <c r="B1033"/>
  <c r="B1034"/>
  <c r="B1035"/>
  <c r="B1036"/>
  <c r="B1037"/>
  <c r="B1038"/>
  <c r="B1039"/>
  <c r="B1040"/>
  <c r="B1041"/>
  <c r="B1042"/>
  <c r="B1043"/>
  <c r="B1044"/>
  <c r="B1045"/>
  <c r="B1046"/>
  <c r="B1047"/>
  <c r="B1048"/>
  <c r="B1049"/>
  <c r="B1050"/>
  <c r="B1051"/>
  <c r="B1052"/>
  <c r="B1053"/>
  <c r="B1054"/>
  <c r="B1055"/>
  <c r="B1056"/>
  <c r="B1057"/>
  <c r="B1058"/>
  <c r="B1059"/>
  <c r="B1060"/>
  <c r="B1061"/>
  <c r="B1062"/>
  <c r="B1063"/>
  <c r="B1064"/>
  <c r="B1065"/>
  <c r="B1066"/>
  <c r="B1067"/>
  <c r="B1068"/>
  <c r="B1069"/>
  <c r="B1070"/>
  <c r="B1071"/>
  <c r="B1072"/>
  <c r="B1073"/>
  <c r="B1074"/>
  <c r="B1075"/>
  <c r="B1076"/>
  <c r="B1077"/>
  <c r="B1078"/>
  <c r="B1079"/>
  <c r="B1080"/>
  <c r="B1081"/>
  <c r="B1082"/>
  <c r="B1083"/>
  <c r="B1084"/>
  <c r="B1085"/>
  <c r="B1086"/>
  <c r="B1087"/>
  <c r="B1088"/>
  <c r="B1089"/>
  <c r="B1090"/>
  <c r="B1091"/>
  <c r="B1092"/>
  <c r="B1093"/>
  <c r="B1094"/>
  <c r="B1095"/>
  <c r="B1096"/>
  <c r="B1097"/>
  <c r="B1098"/>
  <c r="B1099"/>
  <c r="B1100"/>
  <c r="B1101"/>
  <c r="B1102"/>
  <c r="B1103"/>
  <c r="B1104"/>
  <c r="B1105"/>
  <c r="B1106"/>
  <c r="B1107"/>
  <c r="B1108"/>
  <c r="B1109"/>
  <c r="B1110"/>
  <c r="B1111"/>
  <c r="B1112"/>
  <c r="B1113"/>
  <c r="B1114"/>
  <c r="B1115"/>
  <c r="B1116"/>
  <c r="B1117"/>
  <c r="B1118"/>
  <c r="B1119"/>
  <c r="B1120"/>
  <c r="B1121"/>
  <c r="B1122"/>
  <c r="B1123"/>
  <c r="B1124"/>
  <c r="B1125"/>
  <c r="B1126"/>
  <c r="B1127"/>
  <c r="B1128"/>
  <c r="B1129"/>
  <c r="B1130"/>
  <c r="B1131"/>
  <c r="B1132"/>
  <c r="B1133"/>
  <c r="B1134"/>
  <c r="B1135"/>
  <c r="B1136"/>
  <c r="B1137"/>
  <c r="B1138"/>
  <c r="B1139"/>
  <c r="B1140"/>
  <c r="B1141"/>
  <c r="B1142"/>
  <c r="B1143"/>
  <c r="B1144"/>
  <c r="B1145"/>
  <c r="B1146"/>
  <c r="B1147"/>
  <c r="B1148"/>
  <c r="B1149"/>
  <c r="B1150"/>
  <c r="B1151"/>
  <c r="B1152"/>
  <c r="B1153"/>
  <c r="B1154"/>
  <c r="B1155"/>
  <c r="B1156"/>
  <c r="B1157"/>
  <c r="B1158"/>
  <c r="B1159"/>
  <c r="B1160"/>
  <c r="B1161"/>
  <c r="B1162"/>
  <c r="B1163"/>
  <c r="B1164"/>
  <c r="B1165"/>
  <c r="B1166"/>
  <c r="B1167"/>
  <c r="B1168"/>
  <c r="B1169"/>
  <c r="B1170"/>
  <c r="B1171"/>
  <c r="B1172"/>
  <c r="B1173"/>
  <c r="B1174"/>
  <c r="B1175"/>
  <c r="B1176"/>
  <c r="B1177"/>
  <c r="B1178"/>
  <c r="B1179"/>
  <c r="B1180"/>
  <c r="B1181"/>
  <c r="B1182"/>
  <c r="B1183"/>
  <c r="B1184"/>
  <c r="B1185"/>
  <c r="B1186"/>
  <c r="B1187"/>
  <c r="B1188"/>
  <c r="B1189"/>
  <c r="B1190"/>
  <c r="B1191"/>
  <c r="B1192"/>
  <c r="B1193"/>
  <c r="B1194"/>
  <c r="B1195"/>
  <c r="B1196"/>
  <c r="B1197"/>
  <c r="B1198"/>
  <c r="B1199"/>
  <c r="B1200"/>
  <c r="B1201"/>
  <c r="B1202"/>
  <c r="B1203"/>
  <c r="B1204"/>
  <c r="B1205"/>
  <c r="B1206"/>
  <c r="B1207"/>
  <c r="B1208"/>
  <c r="B1209"/>
  <c r="B1210"/>
  <c r="B1211"/>
  <c r="B1212"/>
  <c r="B1213"/>
  <c r="B1214"/>
  <c r="B1215"/>
  <c r="B1216"/>
  <c r="B1217"/>
  <c r="B1218"/>
  <c r="B1219"/>
  <c r="B1220"/>
  <c r="B1221"/>
  <c r="B1222"/>
  <c r="B1223"/>
  <c r="B1224"/>
  <c r="B1225"/>
  <c r="B1226"/>
  <c r="B1227"/>
  <c r="B1228"/>
  <c r="B1229"/>
  <c r="B1230"/>
  <c r="B1231"/>
  <c r="B1232"/>
  <c r="B1233"/>
  <c r="B1234"/>
  <c r="B1235"/>
  <c r="B1236"/>
  <c r="B1237"/>
  <c r="B1238"/>
  <c r="B1239"/>
  <c r="B1240"/>
  <c r="B1241"/>
  <c r="B1242"/>
  <c r="B1243"/>
  <c r="B1244"/>
  <c r="B1245"/>
  <c r="B1246"/>
  <c r="B1247"/>
  <c r="B1248"/>
  <c r="B1249"/>
  <c r="B1250"/>
  <c r="B1251"/>
  <c r="B1252"/>
  <c r="B1253"/>
  <c r="B1254"/>
  <c r="B1255"/>
  <c r="B1256"/>
  <c r="B1257"/>
  <c r="B1258"/>
  <c r="B1259"/>
  <c r="B1260"/>
  <c r="B1261"/>
  <c r="B1262"/>
  <c r="B1263"/>
  <c r="B1264"/>
  <c r="B1265"/>
  <c r="B1266"/>
  <c r="B1267"/>
  <c r="B1268"/>
  <c r="B1269"/>
  <c r="B1270"/>
  <c r="B1271"/>
  <c r="B1272"/>
  <c r="B1273"/>
  <c r="B1274"/>
  <c r="B1275"/>
  <c r="B1276"/>
  <c r="B1277"/>
  <c r="B1278"/>
  <c r="B1279"/>
  <c r="B1280"/>
  <c r="B1281"/>
  <c r="B1282"/>
  <c r="B1283"/>
  <c r="B1284"/>
  <c r="B1285"/>
  <c r="B1286"/>
  <c r="B1287"/>
  <c r="B1288"/>
  <c r="B1289"/>
  <c r="B1290"/>
  <c r="B1291"/>
  <c r="B1292"/>
  <c r="B1293"/>
  <c r="B1294"/>
  <c r="B1295"/>
  <c r="B1296"/>
  <c r="B1297"/>
  <c r="B1298"/>
  <c r="B1299"/>
  <c r="B1300"/>
  <c r="B1301"/>
  <c r="B1302"/>
  <c r="B1303"/>
  <c r="B1304"/>
  <c r="B1305"/>
  <c r="B1306"/>
  <c r="B1307"/>
  <c r="B1308"/>
  <c r="B1309"/>
  <c r="B1310"/>
  <c r="B1311"/>
  <c r="B1312"/>
  <c r="B1313"/>
  <c r="B1314"/>
  <c r="B1315"/>
  <c r="B1316"/>
  <c r="B1317"/>
  <c r="B1318"/>
  <c r="B1319"/>
  <c r="B1320"/>
  <c r="B1321"/>
  <c r="B1322"/>
  <c r="B1323"/>
  <c r="B1324"/>
  <c r="B1325"/>
  <c r="B1326"/>
  <c r="B1327"/>
  <c r="B1328"/>
  <c r="B1329"/>
  <c r="B1330"/>
  <c r="B1331"/>
  <c r="B1332"/>
  <c r="B1333"/>
  <c r="B1334"/>
  <c r="B1335"/>
  <c r="B1336"/>
  <c r="B1337"/>
  <c r="B1338"/>
  <c r="B1339"/>
  <c r="B1340"/>
  <c r="B1341"/>
  <c r="B1342"/>
  <c r="B1343"/>
  <c r="B1344"/>
  <c r="B1345"/>
  <c r="B1346"/>
  <c r="B1347"/>
  <c r="B1348"/>
  <c r="B1349"/>
  <c r="B1350"/>
  <c r="B1351"/>
  <c r="B1352"/>
  <c r="B1353"/>
  <c r="B1354"/>
  <c r="B1355"/>
  <c r="B1356"/>
  <c r="B1357"/>
  <c r="B1358"/>
  <c r="B1359"/>
  <c r="B1360"/>
  <c r="B1361"/>
  <c r="B1362"/>
  <c r="B1363"/>
  <c r="B1364"/>
  <c r="B1365"/>
  <c r="B1366"/>
  <c r="B1367"/>
  <c r="B1368"/>
  <c r="B1369"/>
  <c r="B1370"/>
  <c r="B1371"/>
  <c r="B1372"/>
  <c r="B1373"/>
  <c r="B1374"/>
  <c r="B1375"/>
  <c r="B1376"/>
  <c r="B1377"/>
  <c r="B1378"/>
  <c r="B1379"/>
  <c r="B1380"/>
  <c r="B1381"/>
  <c r="B1382"/>
  <c r="B1383"/>
  <c r="B1384"/>
  <c r="B1385"/>
  <c r="B1386"/>
  <c r="B1387"/>
  <c r="B1388"/>
  <c r="B1389"/>
  <c r="B1390"/>
  <c r="B1391"/>
  <c r="B1392"/>
  <c r="B1393"/>
  <c r="B1394"/>
  <c r="B1395"/>
  <c r="B1396"/>
  <c r="B1397"/>
  <c r="B1398"/>
  <c r="B1399"/>
  <c r="B1400"/>
  <c r="B1401"/>
  <c r="B1402"/>
  <c r="B1403"/>
  <c r="B1404"/>
  <c r="B1405"/>
  <c r="B1406"/>
  <c r="B1407"/>
  <c r="B1408"/>
  <c r="B1409"/>
  <c r="B1410"/>
  <c r="B1411"/>
  <c r="B1412"/>
  <c r="B1413"/>
  <c r="B1414"/>
  <c r="B1415"/>
  <c r="B1416"/>
  <c r="B1417"/>
  <c r="B1418"/>
  <c r="B1419"/>
  <c r="B1420"/>
  <c r="B1421"/>
  <c r="B1422"/>
  <c r="B1423"/>
  <c r="B1424"/>
  <c r="B1425"/>
  <c r="B1426"/>
  <c r="B1427"/>
  <c r="B1428"/>
  <c r="B1429"/>
  <c r="B1430"/>
  <c r="B1431"/>
  <c r="B1432"/>
  <c r="B1433"/>
  <c r="B1434"/>
  <c r="B1435"/>
  <c r="B1436"/>
  <c r="B1437"/>
  <c r="B1438"/>
  <c r="B1439"/>
  <c r="B1440"/>
  <c r="B1441"/>
  <c r="B1442"/>
  <c r="B1443"/>
  <c r="B1444"/>
  <c r="B1445"/>
  <c r="B1446"/>
  <c r="B1447"/>
  <c r="B1448"/>
  <c r="B1449"/>
  <c r="B1450"/>
  <c r="B1451"/>
  <c r="B1452"/>
  <c r="B1453"/>
  <c r="B1454"/>
  <c r="B1455"/>
  <c r="B1456"/>
  <c r="B1457"/>
  <c r="B1458"/>
  <c r="B1459"/>
  <c r="B1460"/>
  <c r="B1461"/>
  <c r="B1462"/>
  <c r="B1463"/>
  <c r="B1464"/>
  <c r="B1465"/>
  <c r="B1466"/>
  <c r="B1467"/>
  <c r="B1468"/>
  <c r="B1469"/>
  <c r="B1470"/>
  <c r="B1471"/>
  <c r="B1472"/>
  <c r="B1473"/>
  <c r="B1474"/>
  <c r="B1475"/>
  <c r="B1476"/>
  <c r="B1477"/>
  <c r="B1478"/>
  <c r="B1479"/>
  <c r="B1480"/>
  <c r="B1481"/>
  <c r="B1482"/>
  <c r="B1483"/>
  <c r="B1484"/>
  <c r="B1485"/>
  <c r="B1486"/>
  <c r="B1487"/>
  <c r="B1488"/>
  <c r="B1489"/>
  <c r="B1490"/>
  <c r="B1491"/>
  <c r="B1492"/>
  <c r="B1493"/>
  <c r="B1494"/>
  <c r="B1495"/>
  <c r="B1496"/>
  <c r="B1497"/>
  <c r="B1498"/>
  <c r="B1499"/>
  <c r="B1500"/>
  <c r="B1501"/>
  <c r="B1502"/>
  <c r="B1503"/>
  <c r="B1504"/>
  <c r="B1505"/>
  <c r="B1506"/>
  <c r="B1507"/>
  <c r="B1508"/>
  <c r="B1509"/>
  <c r="B1510"/>
  <c r="B1511"/>
  <c r="B1512"/>
  <c r="B1513"/>
  <c r="B1514"/>
  <c r="B1515"/>
  <c r="B1516"/>
  <c r="B1517"/>
  <c r="B1518"/>
  <c r="B1519"/>
  <c r="B1520"/>
  <c r="B1521"/>
  <c r="B1522"/>
  <c r="B1523"/>
  <c r="B1524"/>
  <c r="B1525"/>
  <c r="B1526"/>
  <c r="B1527"/>
  <c r="B1528"/>
  <c r="B1529"/>
  <c r="B1530"/>
  <c r="B1531"/>
  <c r="B1532"/>
  <c r="B1533"/>
  <c r="B1534"/>
  <c r="B1535"/>
  <c r="B1536"/>
  <c r="B1537"/>
  <c r="B1538"/>
  <c r="B1539"/>
  <c r="B1540"/>
  <c r="B1541"/>
  <c r="B1542"/>
  <c r="B1543"/>
  <c r="B1544"/>
  <c r="B1545"/>
  <c r="B1546"/>
  <c r="B1547"/>
  <c r="B1548"/>
  <c r="B1549"/>
  <c r="B1550"/>
  <c r="B1551"/>
  <c r="B1552"/>
  <c r="B1553"/>
  <c r="B1554"/>
  <c r="B1555"/>
  <c r="B1556"/>
  <c r="B1557"/>
  <c r="B1558"/>
  <c r="B1559"/>
  <c r="B1560"/>
  <c r="B1561"/>
  <c r="B1562"/>
  <c r="B1563"/>
  <c r="B1564"/>
  <c r="B1565"/>
  <c r="B1566"/>
  <c r="B1567"/>
  <c r="B1568"/>
  <c r="B1569"/>
  <c r="B1570"/>
  <c r="B1571"/>
  <c r="B1572"/>
  <c r="B1573"/>
  <c r="B1574"/>
  <c r="B1575"/>
  <c r="B1576"/>
  <c r="B1577"/>
  <c r="B1578"/>
  <c r="B1579"/>
  <c r="B1580"/>
  <c r="B1581"/>
  <c r="B1582"/>
  <c r="B1583"/>
  <c r="B1584"/>
  <c r="B1585"/>
  <c r="B1586"/>
  <c r="B1587"/>
  <c r="B1588"/>
  <c r="B1589"/>
  <c r="B1590"/>
  <c r="B1591"/>
  <c r="B1592"/>
  <c r="B1593"/>
  <c r="B1594"/>
  <c r="B1595"/>
  <c r="B1596"/>
  <c r="B1597"/>
  <c r="B1598"/>
  <c r="B1599"/>
  <c r="B1600"/>
  <c r="B1601"/>
  <c r="B1602"/>
  <c r="B1603"/>
  <c r="B1604"/>
  <c r="B1605"/>
  <c r="B1606"/>
  <c r="B1607"/>
  <c r="B1608"/>
  <c r="B1609"/>
  <c r="B1610"/>
  <c r="B1611"/>
  <c r="B1612"/>
  <c r="B1613"/>
  <c r="B1614"/>
  <c r="B1615"/>
  <c r="B1616"/>
  <c r="B1617"/>
  <c r="B1618"/>
  <c r="B1619"/>
  <c r="B1620"/>
  <c r="B1621"/>
  <c r="B1622"/>
  <c r="B1623"/>
  <c r="B1624"/>
  <c r="B1625"/>
  <c r="B1626"/>
  <c r="B1627"/>
  <c r="B1628"/>
  <c r="B1629"/>
  <c r="B1630"/>
  <c r="B1631"/>
  <c r="B1632"/>
  <c r="B1633"/>
  <c r="B1634"/>
  <c r="B1635"/>
  <c r="B1636"/>
  <c r="B1637"/>
  <c r="B1638"/>
  <c r="B1639"/>
  <c r="B1640"/>
  <c r="B1641"/>
  <c r="B1642"/>
  <c r="B1643"/>
  <c r="B1644"/>
  <c r="B1645"/>
  <c r="B1646"/>
  <c r="B1647"/>
  <c r="B1648"/>
  <c r="B1649"/>
  <c r="B1650"/>
  <c r="B1651"/>
  <c r="B1652"/>
  <c r="B1653"/>
  <c r="B1654"/>
  <c r="B1655"/>
  <c r="B1656"/>
  <c r="B1657"/>
  <c r="B1658"/>
  <c r="B1659"/>
  <c r="B1660"/>
  <c r="B1661"/>
  <c r="B1662"/>
  <c r="B1663"/>
  <c r="B1664"/>
  <c r="B1665"/>
  <c r="B1666"/>
  <c r="B1667"/>
  <c r="B1668"/>
  <c r="B1669"/>
  <c r="B1670"/>
  <c r="B1671"/>
  <c r="B1672"/>
  <c r="B1673"/>
  <c r="B1674"/>
  <c r="B1675"/>
  <c r="B1676"/>
  <c r="B1677"/>
  <c r="B1678"/>
  <c r="B1679"/>
  <c r="B1680"/>
  <c r="B1681"/>
  <c r="B1682"/>
  <c r="B1683"/>
  <c r="B1684"/>
  <c r="B1685"/>
  <c r="B1686"/>
  <c r="B1687"/>
  <c r="B1688"/>
  <c r="B1689"/>
  <c r="B1690"/>
  <c r="B1691"/>
  <c r="B1692"/>
  <c r="B1693"/>
  <c r="B1694"/>
  <c r="B1695"/>
  <c r="B1696"/>
  <c r="B1697"/>
  <c r="B1698"/>
  <c r="B1699"/>
  <c r="B1700"/>
  <c r="B1701"/>
  <c r="B1702"/>
  <c r="B1703"/>
  <c r="B1704"/>
  <c r="B1705"/>
  <c r="B1706"/>
  <c r="B1707"/>
  <c r="B1708"/>
  <c r="B1709"/>
  <c r="B1710"/>
  <c r="B1711"/>
  <c r="B1712"/>
  <c r="B1713"/>
  <c r="B1714"/>
  <c r="B1715"/>
  <c r="B1716"/>
  <c r="B1717"/>
  <c r="B1718"/>
  <c r="B1719"/>
  <c r="B1720"/>
  <c r="B1721"/>
  <c r="B1722"/>
  <c r="B1723"/>
  <c r="B1724"/>
  <c r="B1725"/>
  <c r="B1726"/>
  <c r="B1727"/>
  <c r="B1728"/>
  <c r="B1729"/>
  <c r="B1730"/>
  <c r="B1731"/>
  <c r="B1732"/>
  <c r="B1733"/>
  <c r="B1734"/>
  <c r="B1735"/>
  <c r="B1736"/>
  <c r="B1737"/>
  <c r="B1738"/>
  <c r="B1739"/>
  <c r="B1740"/>
  <c r="B1741"/>
  <c r="B1742"/>
  <c r="B1743"/>
  <c r="B1744"/>
  <c r="B1745"/>
  <c r="B1746"/>
  <c r="B1747"/>
  <c r="B1748"/>
  <c r="B1749"/>
  <c r="B1750"/>
  <c r="B1751"/>
  <c r="B1752"/>
  <c r="B1753"/>
  <c r="B1754"/>
  <c r="B1755"/>
  <c r="B1756"/>
  <c r="B1757"/>
  <c r="B1758"/>
  <c r="B1759"/>
  <c r="B1760"/>
  <c r="B1761"/>
  <c r="B1762"/>
  <c r="B1763"/>
  <c r="B1764"/>
  <c r="B1765"/>
  <c r="B1766"/>
  <c r="B1767"/>
  <c r="B1768"/>
  <c r="B1769"/>
  <c r="B1770"/>
  <c r="B1771"/>
  <c r="B1772"/>
  <c r="B1773"/>
  <c r="B1774"/>
  <c r="B1775"/>
  <c r="B1776"/>
  <c r="B1777"/>
  <c r="B1778"/>
  <c r="B1779"/>
  <c r="B1780"/>
  <c r="B1781"/>
  <c r="B1782"/>
  <c r="B1783"/>
  <c r="B1784"/>
  <c r="B1785"/>
  <c r="B1786"/>
  <c r="B1787"/>
  <c r="B1788"/>
  <c r="B1789"/>
  <c r="B1790"/>
  <c r="B1791"/>
  <c r="B1792"/>
  <c r="B1793"/>
  <c r="B1794"/>
  <c r="B1795"/>
  <c r="B1796"/>
  <c r="B1797"/>
  <c r="B1798"/>
  <c r="B1799"/>
  <c r="B1800"/>
  <c r="B1801"/>
  <c r="B1802"/>
  <c r="B1803"/>
  <c r="B1804"/>
  <c r="B1805"/>
  <c r="B1806"/>
  <c r="B1807"/>
  <c r="B1808"/>
  <c r="B1809"/>
  <c r="B1810"/>
  <c r="B1811"/>
  <c r="B1812"/>
  <c r="B1813"/>
  <c r="B1814"/>
  <c r="B1815"/>
  <c r="B1816"/>
  <c r="B1817"/>
  <c r="B1818"/>
  <c r="B1819"/>
  <c r="B1820"/>
  <c r="B1821"/>
  <c r="B1822"/>
  <c r="B1823"/>
  <c r="B1824"/>
  <c r="B1825"/>
  <c r="B1826"/>
  <c r="B1827"/>
  <c r="B1828"/>
  <c r="B1829"/>
  <c r="B1830"/>
  <c r="B1831"/>
  <c r="B1832"/>
  <c r="B1833"/>
  <c r="B1834"/>
  <c r="B1835"/>
  <c r="B1836"/>
  <c r="B1837"/>
  <c r="B1838"/>
  <c r="B1839"/>
  <c r="B1840"/>
  <c r="B1841"/>
  <c r="B1842"/>
  <c r="B1843"/>
  <c r="B1844"/>
  <c r="B1845"/>
  <c r="B1846"/>
  <c r="B1847"/>
  <c r="B1848"/>
  <c r="B1849"/>
  <c r="B1850"/>
  <c r="B1851"/>
  <c r="B1852"/>
  <c r="B1853"/>
  <c r="B1854"/>
  <c r="B1855"/>
  <c r="B1856"/>
  <c r="B1857"/>
  <c r="B1858"/>
  <c r="B1859"/>
  <c r="B1860"/>
  <c r="B1861"/>
  <c r="B1862"/>
  <c r="B1863"/>
  <c r="B1864"/>
  <c r="B1865"/>
  <c r="B1866"/>
  <c r="B1867"/>
  <c r="B1868"/>
  <c r="B1869"/>
  <c r="B1870"/>
  <c r="B1871"/>
  <c r="B1872"/>
  <c r="B1873"/>
  <c r="B1874"/>
  <c r="B1875"/>
  <c r="B1876"/>
  <c r="B1877"/>
  <c r="B1878"/>
  <c r="B1879"/>
  <c r="B1880"/>
  <c r="B1881"/>
  <c r="B1882"/>
  <c r="B1883"/>
  <c r="B1884"/>
  <c r="B1885"/>
  <c r="B1886"/>
  <c r="B1887"/>
  <c r="B1888"/>
  <c r="B1889"/>
  <c r="B1890"/>
  <c r="B1891"/>
  <c r="B1892"/>
  <c r="B1893"/>
  <c r="B1894"/>
  <c r="B1895"/>
  <c r="B1896"/>
  <c r="B1897"/>
  <c r="B1898"/>
  <c r="B1899"/>
  <c r="B1900"/>
  <c r="B1901"/>
  <c r="B1902"/>
  <c r="B1903"/>
  <c r="B1904"/>
  <c r="B1905"/>
  <c r="B1906"/>
  <c r="B1907"/>
  <c r="B1908"/>
  <c r="B1909"/>
  <c r="B1910"/>
  <c r="B1911"/>
  <c r="B1912"/>
  <c r="B1913"/>
  <c r="B1914"/>
  <c r="B1915"/>
  <c r="B1916"/>
  <c r="B1917"/>
  <c r="B1918"/>
  <c r="B1919"/>
  <c r="B1920"/>
  <c r="B1921"/>
  <c r="B1922"/>
  <c r="B1923"/>
  <c r="B1924"/>
  <c r="B1925"/>
  <c r="B1926"/>
  <c r="B1927"/>
  <c r="B1928"/>
  <c r="B1929"/>
  <c r="B1930"/>
  <c r="B1931"/>
  <c r="B1932"/>
  <c r="B1933"/>
  <c r="B1934"/>
  <c r="B1935"/>
  <c r="B1936"/>
  <c r="B1937"/>
  <c r="B1938"/>
  <c r="B1939"/>
  <c r="B1940"/>
  <c r="B1941"/>
  <c r="B1942"/>
  <c r="B1943"/>
  <c r="B1944"/>
  <c r="B1945"/>
  <c r="B1946"/>
  <c r="B1947"/>
  <c r="B1948"/>
  <c r="B1949"/>
  <c r="B1950"/>
  <c r="B1951"/>
  <c r="B1952"/>
  <c r="B1953"/>
  <c r="B1954"/>
  <c r="B1955"/>
  <c r="B1956"/>
  <c r="B1957"/>
  <c r="B1958"/>
  <c r="B1959"/>
  <c r="B1960"/>
  <c r="B1961"/>
  <c r="B1962"/>
  <c r="B1963"/>
  <c r="B1964"/>
  <c r="B1965"/>
  <c r="B1966"/>
  <c r="B1967"/>
  <c r="B1968"/>
  <c r="B1969"/>
  <c r="B1970"/>
  <c r="B1971"/>
  <c r="B1972"/>
  <c r="B1973"/>
  <c r="B1974"/>
  <c r="B1975"/>
  <c r="B1976"/>
  <c r="B1977"/>
  <c r="B1978"/>
  <c r="B1979"/>
  <c r="B1980"/>
  <c r="B1981"/>
  <c r="B1982"/>
  <c r="B1983"/>
  <c r="B1984"/>
  <c r="B1985"/>
  <c r="B1986"/>
  <c r="B1987"/>
  <c r="B1988"/>
  <c r="B1989"/>
  <c r="B1990"/>
  <c r="B1991"/>
  <c r="B1992"/>
  <c r="B1993"/>
  <c r="B1994"/>
  <c r="B1995"/>
  <c r="B1996"/>
  <c r="B1997"/>
  <c r="B1998"/>
  <c r="B1999"/>
  <c r="B2000"/>
  <c r="B2001"/>
  <c r="B2002"/>
  <c r="B2003"/>
  <c r="B2004"/>
  <c r="B2005"/>
  <c r="B2006"/>
  <c r="B2007"/>
  <c r="B2008"/>
  <c r="B2009"/>
  <c r="B2010"/>
  <c r="B2011"/>
  <c r="B2012"/>
  <c r="B2013"/>
  <c r="B2014"/>
  <c r="B2015"/>
  <c r="B2016"/>
  <c r="B2017"/>
  <c r="B2018"/>
  <c r="B2019"/>
  <c r="B2020"/>
  <c r="B2021"/>
  <c r="B2022"/>
  <c r="B2023"/>
  <c r="B2024"/>
  <c r="B2025"/>
  <c r="B2026"/>
  <c r="B2027"/>
  <c r="B2028"/>
  <c r="B2029"/>
  <c r="B2030"/>
  <c r="B2031"/>
  <c r="B2032"/>
  <c r="B2033"/>
  <c r="B2034"/>
  <c r="B2035"/>
  <c r="B2036"/>
  <c r="B2037"/>
  <c r="B2038"/>
  <c r="B2039"/>
  <c r="B2040"/>
  <c r="B2041"/>
  <c r="B2042"/>
  <c r="B2043"/>
  <c r="B2044"/>
  <c r="B2045"/>
  <c r="B2046"/>
  <c r="B2047"/>
  <c r="B2048"/>
  <c r="B2049"/>
  <c r="B2050"/>
  <c r="B2051"/>
  <c r="B2052"/>
  <c r="B2053"/>
  <c r="B2054"/>
  <c r="B2055"/>
  <c r="B2056"/>
  <c r="B2057"/>
  <c r="B2058"/>
  <c r="B2059"/>
  <c r="B2060"/>
  <c r="B2061"/>
  <c r="B2062"/>
  <c r="B2063"/>
  <c r="B2064"/>
  <c r="B2065"/>
  <c r="B2066"/>
  <c r="B2067"/>
  <c r="B2068"/>
  <c r="B2069"/>
  <c r="B2070"/>
  <c r="B2071"/>
  <c r="B2072"/>
  <c r="B2073"/>
  <c r="B2074"/>
  <c r="B2075"/>
  <c r="B2076"/>
  <c r="B2077"/>
  <c r="B2078"/>
  <c r="B2079"/>
  <c r="B2080"/>
  <c r="B2081"/>
  <c r="B2082"/>
  <c r="B2083"/>
  <c r="B2084"/>
  <c r="B2085"/>
  <c r="B2086"/>
  <c r="B2087"/>
  <c r="B2088"/>
  <c r="B2089"/>
  <c r="B2090"/>
  <c r="B2091"/>
  <c r="B2092"/>
  <c r="B2093"/>
  <c r="B2094"/>
  <c r="B2095"/>
  <c r="B2096"/>
  <c r="B2097"/>
  <c r="B2098"/>
  <c r="B2099"/>
  <c r="B2100"/>
  <c r="B2101"/>
  <c r="B2102"/>
  <c r="B2103"/>
  <c r="B2104"/>
  <c r="B2105"/>
  <c r="B2106"/>
  <c r="B2107"/>
  <c r="B2108"/>
  <c r="B2109"/>
  <c r="B2110"/>
  <c r="B2111"/>
  <c r="B2112"/>
  <c r="B2113"/>
  <c r="B2114"/>
  <c r="B2115"/>
  <c r="B2116"/>
  <c r="B2117"/>
  <c r="B2118"/>
  <c r="B2119"/>
  <c r="B2120"/>
  <c r="B2121"/>
  <c r="B2122"/>
  <c r="B2123"/>
  <c r="B2124"/>
  <c r="B2125"/>
  <c r="B2126"/>
  <c r="B2127"/>
  <c r="B2128"/>
  <c r="B2129"/>
  <c r="B2130"/>
  <c r="B2131"/>
  <c r="B2132"/>
  <c r="B2133"/>
  <c r="B2134"/>
  <c r="B2135"/>
  <c r="B2136"/>
  <c r="B2137"/>
  <c r="B2138"/>
  <c r="B2139"/>
  <c r="B2140"/>
  <c r="B2141"/>
  <c r="B2142"/>
  <c r="B2143"/>
  <c r="B2144"/>
  <c r="B2145"/>
  <c r="B2146"/>
  <c r="B2147"/>
  <c r="B2148"/>
  <c r="B2149"/>
  <c r="B2150"/>
  <c r="B2151"/>
  <c r="B2152"/>
  <c r="B2153"/>
  <c r="B2154"/>
  <c r="B2155"/>
  <c r="B2156"/>
  <c r="B2157"/>
  <c r="B2158"/>
  <c r="B2159"/>
  <c r="B2160"/>
  <c r="B2161"/>
  <c r="B2162"/>
  <c r="B2163"/>
  <c r="B2164"/>
  <c r="B2165"/>
  <c r="B2166"/>
  <c r="B2167"/>
  <c r="B2168"/>
  <c r="B2169"/>
  <c r="B2170"/>
  <c r="B2171"/>
  <c r="B2172"/>
  <c r="B2173"/>
  <c r="B2174"/>
  <c r="B2175"/>
  <c r="B2176"/>
  <c r="B2177"/>
  <c r="B2178"/>
  <c r="B2179"/>
  <c r="B2180"/>
  <c r="B2181"/>
  <c r="B2182"/>
  <c r="B2183"/>
  <c r="B2184"/>
  <c r="B2185"/>
  <c r="B2186"/>
  <c r="B2187"/>
  <c r="B2188"/>
  <c r="B2189"/>
  <c r="B2190"/>
  <c r="B2191"/>
  <c r="B2192"/>
  <c r="B2193"/>
  <c r="B2194"/>
  <c r="B2195"/>
  <c r="B2196"/>
  <c r="B2197"/>
  <c r="B2198"/>
  <c r="B2199"/>
  <c r="B2200"/>
  <c r="B2201"/>
  <c r="B2202"/>
  <c r="B2203"/>
  <c r="B2204"/>
  <c r="B2205"/>
  <c r="B2206"/>
  <c r="B2207"/>
  <c r="B2208"/>
  <c r="B2209"/>
  <c r="B2210"/>
  <c r="B2211"/>
  <c r="B2212"/>
  <c r="B2213"/>
  <c r="B2214"/>
  <c r="B2215"/>
  <c r="B2216"/>
  <c r="B2217"/>
  <c r="B2218"/>
  <c r="B2219"/>
  <c r="B2220"/>
  <c r="B2221"/>
  <c r="B2222"/>
  <c r="B2223"/>
  <c r="B2224"/>
  <c r="B2225"/>
  <c r="B2226"/>
  <c r="B2227"/>
  <c r="B2228"/>
  <c r="B2229"/>
  <c r="B2230"/>
  <c r="B2231"/>
  <c r="B2232"/>
  <c r="B2233"/>
  <c r="B2234"/>
  <c r="B2235"/>
  <c r="B2236"/>
  <c r="B2237"/>
  <c r="B2238"/>
  <c r="B2239"/>
  <c r="B2240"/>
  <c r="B2241"/>
  <c r="B2242"/>
  <c r="B2243"/>
  <c r="B2244"/>
  <c r="B2245"/>
  <c r="B2246"/>
  <c r="B2247"/>
  <c r="B2248"/>
  <c r="B2249"/>
  <c r="B2250"/>
  <c r="B2251"/>
  <c r="B2252"/>
  <c r="B2253"/>
  <c r="B2254"/>
  <c r="B2255"/>
  <c r="B2256"/>
  <c r="B2257"/>
  <c r="B2258"/>
  <c r="B2259"/>
  <c r="B2260"/>
  <c r="B2261"/>
  <c r="B2262"/>
  <c r="B2263"/>
  <c r="B2264"/>
  <c r="B2265"/>
  <c r="B2266"/>
  <c r="B2267"/>
  <c r="B2268"/>
  <c r="B2269"/>
  <c r="B2270"/>
  <c r="B2271"/>
  <c r="B2272"/>
  <c r="B2273"/>
  <c r="B2274"/>
  <c r="B2275"/>
  <c r="B2276"/>
  <c r="B2277"/>
  <c r="B2278"/>
  <c r="B2279"/>
  <c r="B2280"/>
  <c r="B2281"/>
  <c r="B2282"/>
  <c r="B2283"/>
  <c r="B2284"/>
  <c r="B2285"/>
  <c r="B2286"/>
  <c r="B2287"/>
  <c r="B2288"/>
  <c r="B2289"/>
  <c r="B2290"/>
  <c r="B2291"/>
  <c r="B2292"/>
  <c r="B2293"/>
  <c r="B2294"/>
  <c r="B2295"/>
  <c r="B2296"/>
  <c r="B2297"/>
  <c r="B2298"/>
  <c r="B2299"/>
  <c r="B2300"/>
  <c r="B2301"/>
  <c r="B2302"/>
  <c r="B2303"/>
  <c r="B2304"/>
  <c r="B2305"/>
  <c r="B2306"/>
  <c r="B2307"/>
  <c r="B2308"/>
  <c r="B2309"/>
  <c r="B2310"/>
  <c r="B2311"/>
  <c r="B2312"/>
  <c r="B2313"/>
  <c r="B2314"/>
  <c r="B2315"/>
  <c r="B2316"/>
  <c r="B2317"/>
  <c r="B2318"/>
  <c r="B2319"/>
  <c r="B2320"/>
  <c r="B2321"/>
  <c r="B2322"/>
  <c r="B2323"/>
  <c r="B2324"/>
  <c r="B2325"/>
  <c r="B2326"/>
  <c r="B2327"/>
  <c r="B2328"/>
  <c r="B2329"/>
  <c r="B2330"/>
  <c r="B2331"/>
  <c r="B2332"/>
  <c r="B2333"/>
  <c r="B2334"/>
  <c r="B2335"/>
  <c r="B2336"/>
  <c r="B2337"/>
  <c r="B2338"/>
  <c r="B2339"/>
  <c r="B2340"/>
  <c r="B2341"/>
  <c r="B2342"/>
  <c r="B2343"/>
  <c r="B2344"/>
  <c r="B2345"/>
  <c r="B2346"/>
  <c r="B2347"/>
  <c r="B2348"/>
  <c r="B2349"/>
  <c r="B2350"/>
  <c r="B2351"/>
  <c r="B2352"/>
  <c r="B2353"/>
  <c r="B2354"/>
  <c r="B2355"/>
  <c r="B2356"/>
  <c r="B2357"/>
  <c r="B2358"/>
  <c r="B2359"/>
  <c r="B2360"/>
  <c r="B2361"/>
  <c r="B2362"/>
  <c r="B2363"/>
  <c r="B2364"/>
  <c r="B2365"/>
  <c r="B2366"/>
  <c r="B2367"/>
  <c r="B2368"/>
  <c r="B2369"/>
  <c r="B2370"/>
  <c r="B2371"/>
  <c r="B2372"/>
  <c r="B2373"/>
  <c r="B2374"/>
  <c r="B2375"/>
  <c r="B2376"/>
  <c r="B2377"/>
  <c r="B2378"/>
  <c r="B2379"/>
  <c r="B2380"/>
  <c r="B2381"/>
  <c r="B2382"/>
  <c r="B2383"/>
  <c r="B2384"/>
  <c r="B2385"/>
  <c r="B2386"/>
  <c r="B2387"/>
  <c r="B2388"/>
  <c r="B2389"/>
  <c r="B2390"/>
  <c r="B2391"/>
  <c r="B2392"/>
  <c r="B2393"/>
  <c r="B2394"/>
  <c r="B2395"/>
  <c r="B2396"/>
  <c r="B2397"/>
  <c r="B2398"/>
  <c r="B2399"/>
  <c r="B2400"/>
  <c r="B2401"/>
  <c r="B2402"/>
  <c r="B2403"/>
  <c r="B2404"/>
  <c r="B2405"/>
  <c r="B2406"/>
  <c r="B2407"/>
  <c r="B2408"/>
  <c r="B2409"/>
  <c r="B2410"/>
  <c r="B2411"/>
  <c r="B2412"/>
  <c r="B2413"/>
  <c r="B2414"/>
  <c r="B2415"/>
  <c r="B2416"/>
  <c r="B2417"/>
  <c r="B2418"/>
  <c r="B2419"/>
  <c r="B2420"/>
  <c r="B2421"/>
  <c r="B2422"/>
  <c r="B2423"/>
  <c r="B2424"/>
  <c r="B2425"/>
  <c r="B2426"/>
  <c r="B2427"/>
  <c r="B2428"/>
  <c r="B2429"/>
  <c r="B2430"/>
  <c r="B2431"/>
  <c r="B2432"/>
  <c r="B2433"/>
  <c r="B2434"/>
  <c r="B2435"/>
  <c r="B2436"/>
  <c r="B2437"/>
  <c r="B2438"/>
  <c r="B2439"/>
  <c r="B2440"/>
  <c r="B2441"/>
  <c r="B2442"/>
  <c r="B2443"/>
  <c r="B2444"/>
  <c r="B2445"/>
  <c r="B2446"/>
  <c r="B2447"/>
  <c r="B2448"/>
  <c r="B2449"/>
  <c r="B2450"/>
  <c r="B2451"/>
  <c r="B2452"/>
  <c r="B2453"/>
  <c r="B2454"/>
  <c r="B2455"/>
  <c r="B2456"/>
  <c r="B2457"/>
  <c r="B2458"/>
  <c r="B2459"/>
  <c r="B2460"/>
  <c r="B2461"/>
  <c r="B2462"/>
  <c r="B2463"/>
  <c r="B2464"/>
  <c r="B2465"/>
  <c r="B2466"/>
  <c r="B2467"/>
  <c r="B2468"/>
  <c r="B2469"/>
  <c r="B2470"/>
  <c r="B2471"/>
  <c r="B2472"/>
  <c r="B2473"/>
  <c r="B2474"/>
  <c r="B2475"/>
  <c r="B2476"/>
  <c r="B2477"/>
  <c r="B2478"/>
  <c r="B2479"/>
  <c r="B2480"/>
  <c r="B2481"/>
  <c r="B2482"/>
  <c r="B2483"/>
  <c r="B2484"/>
  <c r="B2485"/>
  <c r="B2486"/>
  <c r="B2487"/>
  <c r="B2488"/>
  <c r="B2489"/>
  <c r="B2490"/>
  <c r="B2491"/>
  <c r="B2492"/>
  <c r="B2493"/>
  <c r="B2494"/>
  <c r="B2495"/>
  <c r="B2496"/>
  <c r="B2497"/>
  <c r="B2498"/>
  <c r="B2499"/>
  <c r="B2500"/>
  <c r="B2501"/>
  <c r="B2502"/>
  <c r="B2503"/>
  <c r="B2504"/>
  <c r="B2505"/>
  <c r="B2506"/>
  <c r="B2507"/>
  <c r="B2508"/>
  <c r="B2509"/>
  <c r="B2510"/>
  <c r="B2511"/>
  <c r="B2512"/>
  <c r="B2513"/>
  <c r="B2514"/>
  <c r="B2515"/>
  <c r="B2516"/>
  <c r="B2517"/>
  <c r="B2518"/>
  <c r="B2519"/>
  <c r="B2520"/>
  <c r="B2521"/>
  <c r="B2522"/>
  <c r="B2523"/>
  <c r="B2524"/>
  <c r="B2525"/>
  <c r="B2526"/>
  <c r="B2527"/>
  <c r="B2528"/>
  <c r="B2529"/>
  <c r="B2530"/>
  <c r="B2531"/>
  <c r="B2532"/>
  <c r="B2533"/>
  <c r="B2534"/>
  <c r="B2535"/>
  <c r="B2536"/>
  <c r="B2537"/>
  <c r="B2538"/>
  <c r="B2539"/>
  <c r="B2540"/>
  <c r="B2541"/>
  <c r="B2542"/>
  <c r="B2543"/>
  <c r="B2544"/>
  <c r="B2545"/>
  <c r="B2546"/>
  <c r="B2547"/>
  <c r="B2548"/>
  <c r="B2549"/>
  <c r="B2550"/>
  <c r="B2551"/>
  <c r="B2552"/>
  <c r="B2553"/>
  <c r="B2554"/>
  <c r="B2555"/>
  <c r="B2556"/>
  <c r="B2557"/>
  <c r="B2558"/>
  <c r="B2559"/>
  <c r="B2560"/>
  <c r="B2561"/>
  <c r="B2562"/>
  <c r="B2563"/>
  <c r="B2564"/>
  <c r="B2565"/>
  <c r="B2566"/>
  <c r="B2567"/>
  <c r="B2568"/>
  <c r="B2569"/>
  <c r="B2570"/>
  <c r="B2571"/>
  <c r="B2572"/>
  <c r="B2573"/>
  <c r="B2574"/>
  <c r="B2575"/>
  <c r="B2576"/>
  <c r="B2577"/>
  <c r="B2578"/>
  <c r="B2579"/>
  <c r="B2580"/>
  <c r="B2581"/>
  <c r="B2582"/>
  <c r="B2583"/>
  <c r="B2584"/>
  <c r="B2585"/>
  <c r="B2586"/>
  <c r="B2587"/>
  <c r="B2588"/>
  <c r="B2589"/>
  <c r="B2590"/>
  <c r="B2591"/>
  <c r="B2592"/>
  <c r="B2593"/>
  <c r="B2594"/>
  <c r="B2595"/>
  <c r="B2596"/>
  <c r="B2597"/>
  <c r="B2598"/>
  <c r="B2599"/>
  <c r="B2600"/>
  <c r="B2601"/>
  <c r="B2602"/>
  <c r="B2603"/>
  <c r="B2604"/>
  <c r="B2605"/>
  <c r="B2606"/>
  <c r="B2607"/>
  <c r="B2608"/>
  <c r="B2609"/>
  <c r="B2610"/>
  <c r="B2611"/>
  <c r="B2612"/>
  <c r="B2613"/>
  <c r="B2614"/>
  <c r="B2615"/>
  <c r="B2616"/>
  <c r="B2617"/>
  <c r="B2618"/>
  <c r="B2619"/>
  <c r="B2620"/>
  <c r="B2621"/>
  <c r="B2622"/>
  <c r="B2623"/>
  <c r="B2624"/>
  <c r="B2625"/>
  <c r="B2626"/>
  <c r="B2627"/>
  <c r="B2628"/>
  <c r="B2629"/>
  <c r="B2630"/>
  <c r="B2631"/>
  <c r="B2632"/>
  <c r="B2633"/>
  <c r="B2634"/>
  <c r="B2635"/>
  <c r="B2636"/>
  <c r="B2637"/>
  <c r="B2638"/>
  <c r="B2639"/>
  <c r="B2640"/>
  <c r="B2641"/>
  <c r="B2642"/>
  <c r="B2643"/>
  <c r="B2644"/>
  <c r="B2645"/>
  <c r="B2646"/>
  <c r="B2647"/>
  <c r="B2648"/>
  <c r="B2649"/>
  <c r="B2650"/>
  <c r="B2651"/>
  <c r="B2652"/>
  <c r="B2653"/>
  <c r="B2654"/>
  <c r="B2655"/>
  <c r="B2656"/>
  <c r="B2657"/>
  <c r="B2658"/>
  <c r="B2659"/>
  <c r="B2660"/>
  <c r="B2661"/>
  <c r="B2662"/>
  <c r="B2663"/>
  <c r="B2664"/>
  <c r="B2665"/>
  <c r="B2666"/>
  <c r="B2667"/>
  <c r="B2668"/>
  <c r="B2669"/>
  <c r="B2670"/>
  <c r="B2671"/>
  <c r="B2672"/>
  <c r="B2673"/>
  <c r="B2674"/>
  <c r="B2675"/>
  <c r="B2676"/>
  <c r="B2677"/>
  <c r="B2678"/>
  <c r="B2679"/>
  <c r="B2680"/>
  <c r="B2681"/>
  <c r="B2682"/>
  <c r="B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1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3"/>
  <c r="D1054"/>
  <c r="D1055"/>
  <c r="D1056"/>
  <c r="D1057"/>
  <c r="D1058"/>
  <c r="D1059"/>
  <c r="D1060"/>
  <c r="D1061"/>
  <c r="D1062"/>
  <c r="D1063"/>
  <c r="D1064"/>
  <c r="D1065"/>
  <c r="D1066"/>
  <c r="D1067"/>
  <c r="D1068"/>
  <c r="D1069"/>
  <c r="D1070"/>
  <c r="D1071"/>
  <c r="D1072"/>
  <c r="D1073"/>
  <c r="D1074"/>
  <c r="D1075"/>
  <c r="D1076"/>
  <c r="D1077"/>
  <c r="D1078"/>
  <c r="D1079"/>
  <c r="D1080"/>
  <c r="D1081"/>
  <c r="D1082"/>
  <c r="D1083"/>
  <c r="D1084"/>
  <c r="D1085"/>
  <c r="D1086"/>
  <c r="D1087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8"/>
  <c r="D1109"/>
  <c r="D1110"/>
  <c r="D1111"/>
  <c r="D1112"/>
  <c r="D1113"/>
  <c r="D1114"/>
  <c r="D1115"/>
  <c r="D1116"/>
  <c r="D1117"/>
  <c r="D1118"/>
  <c r="D1119"/>
  <c r="D1120"/>
  <c r="D1121"/>
  <c r="D1122"/>
  <c r="D1123"/>
  <c r="D1124"/>
  <c r="D1125"/>
  <c r="D1126"/>
  <c r="D1127"/>
  <c r="D1128"/>
  <c r="D1129"/>
  <c r="D1130"/>
  <c r="D1131"/>
  <c r="D1132"/>
  <c r="D1133"/>
  <c r="D1134"/>
  <c r="D1135"/>
  <c r="D1136"/>
  <c r="D1137"/>
  <c r="D1138"/>
  <c r="D1139"/>
  <c r="D1140"/>
  <c r="D1141"/>
  <c r="D1142"/>
  <c r="D1143"/>
  <c r="D1144"/>
  <c r="D1145"/>
  <c r="D1146"/>
  <c r="D1147"/>
  <c r="D1148"/>
  <c r="D1149"/>
  <c r="D1150"/>
  <c r="D1151"/>
  <c r="D1152"/>
  <c r="D1153"/>
  <c r="D1154"/>
  <c r="D1155"/>
  <c r="D1156"/>
  <c r="D1157"/>
  <c r="D1158"/>
  <c r="D1159"/>
  <c r="D1160"/>
  <c r="D1161"/>
  <c r="D1162"/>
  <c r="D1163"/>
  <c r="D1164"/>
  <c r="D1165"/>
  <c r="D1166"/>
  <c r="D1167"/>
  <c r="D1168"/>
  <c r="D1169"/>
  <c r="D1170"/>
  <c r="D1171"/>
  <c r="D1172"/>
  <c r="D1173"/>
  <c r="D1174"/>
  <c r="D1175"/>
  <c r="D1176"/>
  <c r="D1177"/>
  <c r="D1178"/>
  <c r="D1179"/>
  <c r="D1180"/>
  <c r="D1181"/>
  <c r="D1182"/>
  <c r="D1183"/>
  <c r="D1184"/>
  <c r="D1185"/>
  <c r="D1186"/>
  <c r="D1187"/>
  <c r="D1188"/>
  <c r="D1189"/>
  <c r="D1190"/>
  <c r="D1191"/>
  <c r="D1192"/>
  <c r="D1193"/>
  <c r="D1194"/>
  <c r="D1195"/>
  <c r="D1196"/>
  <c r="D1197"/>
  <c r="D1198"/>
  <c r="D1199"/>
  <c r="D1200"/>
  <c r="D1201"/>
  <c r="D1202"/>
  <c r="D1203"/>
  <c r="D1204"/>
  <c r="D1205"/>
  <c r="D1206"/>
  <c r="D1207"/>
  <c r="D1208"/>
  <c r="D1209"/>
  <c r="D1210"/>
  <c r="D1211"/>
  <c r="D1212"/>
  <c r="D1213"/>
  <c r="D1214"/>
  <c r="D1215"/>
  <c r="D1216"/>
  <c r="D1217"/>
  <c r="D1218"/>
  <c r="D1219"/>
  <c r="D1220"/>
  <c r="D1221"/>
  <c r="D1222"/>
  <c r="D1223"/>
  <c r="D1224"/>
  <c r="D1225"/>
  <c r="D1226"/>
  <c r="D1227"/>
  <c r="D1228"/>
  <c r="D1229"/>
  <c r="D1230"/>
  <c r="D1231"/>
  <c r="D1232"/>
  <c r="D1233"/>
  <c r="D1234"/>
  <c r="D1235"/>
  <c r="D1236"/>
  <c r="D1237"/>
  <c r="D1238"/>
  <c r="D1239"/>
  <c r="D1240"/>
  <c r="D1241"/>
  <c r="D1242"/>
  <c r="D1243"/>
  <c r="D1244"/>
  <c r="D1245"/>
  <c r="D1246"/>
  <c r="D1247"/>
  <c r="D1248"/>
  <c r="D1249"/>
  <c r="D1250"/>
  <c r="D1251"/>
  <c r="D1252"/>
  <c r="D1253"/>
  <c r="D1254"/>
  <c r="D1255"/>
  <c r="D1256"/>
  <c r="D1257"/>
  <c r="D1258"/>
  <c r="D1259"/>
  <c r="D1260"/>
  <c r="D1261"/>
  <c r="D1262"/>
  <c r="D1263"/>
  <c r="D1264"/>
  <c r="D1265"/>
  <c r="D1266"/>
  <c r="D1267"/>
  <c r="D1268"/>
  <c r="D1269"/>
  <c r="D1270"/>
  <c r="D1271"/>
  <c r="D1272"/>
  <c r="D1273"/>
  <c r="D1274"/>
  <c r="D1275"/>
  <c r="D1276"/>
  <c r="D1277"/>
  <c r="D1278"/>
  <c r="D1279"/>
  <c r="D1280"/>
  <c r="D1281"/>
  <c r="D1282"/>
  <c r="D1283"/>
  <c r="D1284"/>
  <c r="D1285"/>
  <c r="D1286"/>
  <c r="D1287"/>
  <c r="D1288"/>
  <c r="D1289"/>
  <c r="D1290"/>
  <c r="D1291"/>
  <c r="D1292"/>
  <c r="D1293"/>
  <c r="D1294"/>
  <c r="D1295"/>
  <c r="D1296"/>
  <c r="D1297"/>
  <c r="D1298"/>
  <c r="D1299"/>
  <c r="D1300"/>
  <c r="D1301"/>
  <c r="D1302"/>
  <c r="D1303"/>
  <c r="D1304"/>
  <c r="D1305"/>
  <c r="D1306"/>
  <c r="D1307"/>
  <c r="D1308"/>
  <c r="D1309"/>
  <c r="D1310"/>
  <c r="D1311"/>
  <c r="D1312"/>
  <c r="D1313"/>
  <c r="D1314"/>
  <c r="D1315"/>
  <c r="D1316"/>
  <c r="D1317"/>
  <c r="D1318"/>
  <c r="D1319"/>
  <c r="D1320"/>
  <c r="D1321"/>
  <c r="D1322"/>
  <c r="D1323"/>
  <c r="D1324"/>
  <c r="D1325"/>
  <c r="D1326"/>
  <c r="D1327"/>
  <c r="D1328"/>
  <c r="D1329"/>
  <c r="D1330"/>
  <c r="D1331"/>
  <c r="D1332"/>
  <c r="D1333"/>
  <c r="D1334"/>
  <c r="D1335"/>
  <c r="D1336"/>
  <c r="D1337"/>
  <c r="D1338"/>
  <c r="D1339"/>
  <c r="D1340"/>
  <c r="D1341"/>
  <c r="D1342"/>
  <c r="D1343"/>
  <c r="D1344"/>
  <c r="D1345"/>
  <c r="D1346"/>
  <c r="D1347"/>
  <c r="D1348"/>
  <c r="D1349"/>
  <c r="D1350"/>
  <c r="D1351"/>
  <c r="D1352"/>
  <c r="D1353"/>
  <c r="D1354"/>
  <c r="D1355"/>
  <c r="D1356"/>
  <c r="D1357"/>
  <c r="D1358"/>
  <c r="D1359"/>
  <c r="D1360"/>
  <c r="D1361"/>
  <c r="D1362"/>
  <c r="D1363"/>
  <c r="D1364"/>
  <c r="D1365"/>
  <c r="D1366"/>
  <c r="D1367"/>
  <c r="D1368"/>
  <c r="D1369"/>
  <c r="D1370"/>
  <c r="D1371"/>
  <c r="D1372"/>
  <c r="D1373"/>
  <c r="D1374"/>
  <c r="D1375"/>
  <c r="D1376"/>
  <c r="D1377"/>
  <c r="D1378"/>
  <c r="D1379"/>
  <c r="D1380"/>
  <c r="D1381"/>
  <c r="D1382"/>
  <c r="D1383"/>
  <c r="D1384"/>
  <c r="D1385"/>
  <c r="D1386"/>
  <c r="D1387"/>
  <c r="D1388"/>
  <c r="D1389"/>
  <c r="D1390"/>
  <c r="D1391"/>
  <c r="D1392"/>
  <c r="D1393"/>
  <c r="D1394"/>
  <c r="D1395"/>
  <c r="D1396"/>
  <c r="D1397"/>
  <c r="D1398"/>
  <c r="D1399"/>
  <c r="D1400"/>
  <c r="D1401"/>
  <c r="D1402"/>
  <c r="D1403"/>
  <c r="D1404"/>
  <c r="D1405"/>
  <c r="D1406"/>
  <c r="D1407"/>
  <c r="D1408"/>
  <c r="D1409"/>
  <c r="D1410"/>
  <c r="D1411"/>
  <c r="D1412"/>
  <c r="D1413"/>
  <c r="D1414"/>
  <c r="D1415"/>
  <c r="D1416"/>
  <c r="D1417"/>
  <c r="D1418"/>
  <c r="D1419"/>
  <c r="D1420"/>
  <c r="D1421"/>
  <c r="D1422"/>
  <c r="D1423"/>
  <c r="D1424"/>
  <c r="D1425"/>
  <c r="D1426"/>
  <c r="D1427"/>
  <c r="D1428"/>
  <c r="D1429"/>
  <c r="D1430"/>
  <c r="D1431"/>
  <c r="D1432"/>
  <c r="D1433"/>
  <c r="D1434"/>
  <c r="D1435"/>
  <c r="D1436"/>
  <c r="D1437"/>
  <c r="D1438"/>
  <c r="D1439"/>
  <c r="D1440"/>
  <c r="D1441"/>
  <c r="D1442"/>
  <c r="D1443"/>
  <c r="D1444"/>
  <c r="D1445"/>
  <c r="D1446"/>
  <c r="D1447"/>
  <c r="D1448"/>
  <c r="D1449"/>
  <c r="D1450"/>
  <c r="D1451"/>
  <c r="D1452"/>
  <c r="D1453"/>
  <c r="D1454"/>
  <c r="D1455"/>
  <c r="D1456"/>
  <c r="D1457"/>
  <c r="D1458"/>
  <c r="D1459"/>
  <c r="D1460"/>
  <c r="D1461"/>
  <c r="D1462"/>
  <c r="D1463"/>
  <c r="D1464"/>
  <c r="D1465"/>
  <c r="D1466"/>
  <c r="D1467"/>
  <c r="D1468"/>
  <c r="D1469"/>
  <c r="D1470"/>
  <c r="D1471"/>
  <c r="D1472"/>
  <c r="D1473"/>
  <c r="D1474"/>
  <c r="D1475"/>
  <c r="D1476"/>
  <c r="D1477"/>
  <c r="D1478"/>
  <c r="D1479"/>
  <c r="D1480"/>
  <c r="D1481"/>
  <c r="D1482"/>
  <c r="D1483"/>
  <c r="D1484"/>
  <c r="D1485"/>
  <c r="D1486"/>
  <c r="D1487"/>
  <c r="D1488"/>
  <c r="D1489"/>
  <c r="D1490"/>
  <c r="D1491"/>
  <c r="D1492"/>
  <c r="D1493"/>
  <c r="D1494"/>
  <c r="D1495"/>
  <c r="D1496"/>
  <c r="D1497"/>
  <c r="D1498"/>
  <c r="D1499"/>
  <c r="D1500"/>
  <c r="D1501"/>
  <c r="D1502"/>
  <c r="D1503"/>
  <c r="D1504"/>
  <c r="D1505"/>
  <c r="D1506"/>
  <c r="D1507"/>
  <c r="D1508"/>
  <c r="D1509"/>
  <c r="D1510"/>
  <c r="D1511"/>
  <c r="D1512"/>
  <c r="D1513"/>
  <c r="D1514"/>
  <c r="D1515"/>
  <c r="D1516"/>
  <c r="D1517"/>
  <c r="D1518"/>
  <c r="D1519"/>
  <c r="D1520"/>
  <c r="D1521"/>
  <c r="D1522"/>
  <c r="D1523"/>
  <c r="D1524"/>
  <c r="D1525"/>
  <c r="D1526"/>
  <c r="D1527"/>
  <c r="D1528"/>
  <c r="D1529"/>
  <c r="D1530"/>
  <c r="D1531"/>
  <c r="D1532"/>
  <c r="D1533"/>
  <c r="D1534"/>
  <c r="D1535"/>
  <c r="D1536"/>
  <c r="D1537"/>
  <c r="D1538"/>
  <c r="D1539"/>
  <c r="D1540"/>
  <c r="D1541"/>
  <c r="D1542"/>
  <c r="D1543"/>
  <c r="D1544"/>
  <c r="D1545"/>
  <c r="D1546"/>
  <c r="D1547"/>
  <c r="D1548"/>
  <c r="D1549"/>
  <c r="D1550"/>
  <c r="D1551"/>
  <c r="D1552"/>
  <c r="D1553"/>
  <c r="D1554"/>
  <c r="D1555"/>
  <c r="D1556"/>
  <c r="D1557"/>
  <c r="D1558"/>
  <c r="D1559"/>
  <c r="D1560"/>
  <c r="D1561"/>
  <c r="D1562"/>
  <c r="D1563"/>
  <c r="D1564"/>
  <c r="D1565"/>
  <c r="D1566"/>
  <c r="D1567"/>
  <c r="D1568"/>
  <c r="D1569"/>
  <c r="D1570"/>
  <c r="D1571"/>
  <c r="D1572"/>
  <c r="D1573"/>
  <c r="D1574"/>
  <c r="D1575"/>
  <c r="D1576"/>
  <c r="D1577"/>
  <c r="D1578"/>
  <c r="D1579"/>
  <c r="D1580"/>
  <c r="D1581"/>
  <c r="D1582"/>
  <c r="D1583"/>
  <c r="D1584"/>
  <c r="D1585"/>
  <c r="D1586"/>
  <c r="D1587"/>
  <c r="D1588"/>
  <c r="D1589"/>
  <c r="D1590"/>
  <c r="D1591"/>
  <c r="D1592"/>
  <c r="D1593"/>
  <c r="D1594"/>
  <c r="D1595"/>
  <c r="D1596"/>
  <c r="D1597"/>
  <c r="D1598"/>
  <c r="D1599"/>
  <c r="D1600"/>
  <c r="D1601"/>
  <c r="D1602"/>
  <c r="D1603"/>
  <c r="D1604"/>
  <c r="D1605"/>
  <c r="D1606"/>
  <c r="D1607"/>
  <c r="D1608"/>
  <c r="D1609"/>
  <c r="D1610"/>
  <c r="D1611"/>
  <c r="D1612"/>
  <c r="D1613"/>
  <c r="D1614"/>
  <c r="D1615"/>
  <c r="D1616"/>
  <c r="D1617"/>
  <c r="D1618"/>
  <c r="D1619"/>
  <c r="D1620"/>
  <c r="D1621"/>
  <c r="D1622"/>
  <c r="D1623"/>
  <c r="D1624"/>
  <c r="D1625"/>
  <c r="D1626"/>
  <c r="D1627"/>
  <c r="D1628"/>
  <c r="D1629"/>
  <c r="D1630"/>
  <c r="D1631"/>
  <c r="D1632"/>
  <c r="D1633"/>
  <c r="D1634"/>
  <c r="D1635"/>
  <c r="D1636"/>
  <c r="D1637"/>
  <c r="D1638"/>
  <c r="D1639"/>
  <c r="D1640"/>
  <c r="D1641"/>
  <c r="D1642"/>
  <c r="D1643"/>
  <c r="D1644"/>
  <c r="D1645"/>
  <c r="D1646"/>
  <c r="D1647"/>
  <c r="D1648"/>
  <c r="D1649"/>
  <c r="D1650"/>
  <c r="D1651"/>
  <c r="D1652"/>
  <c r="D1653"/>
  <c r="D1654"/>
  <c r="D1655"/>
  <c r="D1656"/>
  <c r="D1657"/>
  <c r="D1658"/>
  <c r="D1659"/>
  <c r="D1660"/>
  <c r="D1661"/>
  <c r="D1662"/>
  <c r="D1663"/>
  <c r="D1664"/>
  <c r="D1665"/>
  <c r="D1666"/>
  <c r="D1667"/>
  <c r="D1668"/>
  <c r="D1669"/>
  <c r="D1670"/>
  <c r="D1671"/>
  <c r="D1672"/>
  <c r="D1673"/>
  <c r="D1674"/>
  <c r="D1675"/>
  <c r="D1676"/>
  <c r="D1677"/>
  <c r="D1678"/>
  <c r="D1679"/>
  <c r="D1680"/>
  <c r="D1681"/>
  <c r="D1682"/>
  <c r="D1683"/>
  <c r="D1684"/>
  <c r="D1685"/>
  <c r="D1686"/>
  <c r="D1687"/>
  <c r="D1688"/>
  <c r="D1689"/>
  <c r="D1690"/>
  <c r="D1691"/>
  <c r="D1692"/>
  <c r="D1693"/>
  <c r="D1694"/>
  <c r="D1695"/>
  <c r="D1696"/>
  <c r="D1697"/>
  <c r="D1698"/>
  <c r="D1699"/>
  <c r="D1700"/>
  <c r="D1701"/>
  <c r="D1702"/>
  <c r="D1703"/>
  <c r="D1704"/>
  <c r="D1705"/>
  <c r="D1706"/>
  <c r="D1707"/>
  <c r="D1708"/>
  <c r="D1709"/>
  <c r="D1710"/>
  <c r="D1711"/>
  <c r="D1712"/>
  <c r="D1713"/>
  <c r="D1714"/>
  <c r="D1715"/>
  <c r="D1716"/>
  <c r="D1717"/>
  <c r="D1718"/>
  <c r="D1719"/>
  <c r="D1720"/>
  <c r="D1721"/>
  <c r="D1722"/>
  <c r="D1723"/>
  <c r="D1724"/>
  <c r="D1725"/>
  <c r="D1726"/>
  <c r="D1727"/>
  <c r="D1728"/>
  <c r="D1729"/>
  <c r="D1730"/>
  <c r="D1731"/>
  <c r="D1732"/>
  <c r="D1733"/>
  <c r="D1734"/>
  <c r="D1735"/>
  <c r="D1736"/>
  <c r="D1737"/>
  <c r="D1738"/>
  <c r="D1739"/>
  <c r="D1740"/>
  <c r="D1741"/>
  <c r="D1742"/>
  <c r="D1743"/>
  <c r="D1744"/>
  <c r="D1745"/>
  <c r="D1746"/>
  <c r="D1747"/>
  <c r="D1748"/>
  <c r="D1749"/>
  <c r="D1750"/>
  <c r="D1751"/>
  <c r="D1752"/>
  <c r="D1753"/>
  <c r="D1754"/>
  <c r="D1755"/>
  <c r="D1756"/>
  <c r="D1757"/>
  <c r="D1758"/>
  <c r="D1759"/>
  <c r="D1760"/>
  <c r="D1761"/>
  <c r="D1762"/>
  <c r="D1763"/>
  <c r="D1764"/>
  <c r="D1765"/>
  <c r="D1766"/>
  <c r="D1767"/>
  <c r="D1768"/>
  <c r="D1769"/>
  <c r="D1770"/>
  <c r="D1771"/>
  <c r="D1772"/>
  <c r="D1773"/>
  <c r="D1774"/>
  <c r="D1775"/>
  <c r="D1776"/>
  <c r="D1777"/>
  <c r="D1778"/>
  <c r="D1779"/>
  <c r="D1780"/>
  <c r="D1781"/>
  <c r="D1782"/>
  <c r="D1783"/>
  <c r="D1784"/>
  <c r="D1785"/>
  <c r="D1786"/>
  <c r="D1787"/>
  <c r="D1788"/>
  <c r="D1789"/>
  <c r="D1790"/>
  <c r="D1791"/>
  <c r="D1792"/>
  <c r="D1793"/>
  <c r="D1794"/>
  <c r="D1795"/>
  <c r="D1796"/>
  <c r="D1797"/>
  <c r="D1798"/>
  <c r="D1799"/>
  <c r="D1800"/>
  <c r="D1801"/>
  <c r="D1802"/>
  <c r="D1803"/>
  <c r="D1804"/>
  <c r="D1805"/>
  <c r="D1806"/>
  <c r="D1807"/>
  <c r="D1808"/>
  <c r="D1809"/>
  <c r="D1810"/>
  <c r="D1811"/>
  <c r="D1812"/>
  <c r="D1813"/>
  <c r="D1814"/>
  <c r="D1815"/>
  <c r="D1816"/>
  <c r="D1817"/>
  <c r="D1818"/>
  <c r="D1819"/>
  <c r="D1820"/>
  <c r="D1821"/>
  <c r="D1822"/>
  <c r="D1823"/>
  <c r="D1824"/>
  <c r="D1825"/>
  <c r="D1826"/>
  <c r="D1827"/>
  <c r="D1828"/>
  <c r="D1829"/>
  <c r="D1830"/>
  <c r="D1831"/>
  <c r="D1832"/>
  <c r="D1833"/>
  <c r="D1834"/>
  <c r="D1835"/>
  <c r="D1836"/>
  <c r="D1837"/>
  <c r="D1838"/>
  <c r="D1839"/>
  <c r="D1840"/>
  <c r="D1841"/>
  <c r="D1842"/>
  <c r="D1843"/>
  <c r="D1844"/>
  <c r="D1845"/>
  <c r="D1846"/>
  <c r="D1847"/>
  <c r="D1848"/>
  <c r="D1849"/>
  <c r="D1850"/>
  <c r="D1851"/>
  <c r="D1852"/>
  <c r="D1853"/>
  <c r="D1854"/>
  <c r="D1855"/>
  <c r="D1856"/>
  <c r="D1857"/>
  <c r="D1858"/>
  <c r="D1859"/>
  <c r="D1860"/>
  <c r="D1861"/>
  <c r="D1862"/>
  <c r="D1863"/>
  <c r="D1864"/>
  <c r="D1865"/>
  <c r="D1866"/>
  <c r="D1867"/>
  <c r="D1868"/>
  <c r="D1869"/>
  <c r="D1870"/>
  <c r="D1871"/>
  <c r="D1872"/>
  <c r="D1873"/>
  <c r="D1874"/>
  <c r="D1875"/>
  <c r="D1876"/>
  <c r="D1877"/>
  <c r="D1878"/>
  <c r="D1879"/>
  <c r="D1880"/>
  <c r="D1881"/>
  <c r="D1882"/>
  <c r="D1883"/>
  <c r="D1884"/>
  <c r="D1885"/>
  <c r="D1886"/>
  <c r="D1887"/>
  <c r="D1888"/>
  <c r="D1889"/>
  <c r="D1890"/>
  <c r="D1891"/>
  <c r="D1892"/>
  <c r="D1893"/>
  <c r="D1894"/>
  <c r="D1895"/>
  <c r="D1896"/>
  <c r="D1897"/>
  <c r="D1898"/>
  <c r="D1899"/>
  <c r="D1900"/>
  <c r="D1901"/>
  <c r="D1902"/>
  <c r="D1903"/>
  <c r="D1904"/>
  <c r="D1905"/>
  <c r="D1906"/>
  <c r="D1907"/>
  <c r="D1908"/>
  <c r="D1909"/>
  <c r="D1910"/>
  <c r="D1911"/>
  <c r="D1912"/>
  <c r="D1913"/>
  <c r="D1914"/>
  <c r="D1915"/>
  <c r="D1916"/>
  <c r="D1917"/>
  <c r="D1918"/>
  <c r="D1919"/>
  <c r="D1920"/>
  <c r="D1921"/>
  <c r="D1922"/>
  <c r="D1923"/>
  <c r="D1924"/>
  <c r="D1925"/>
  <c r="D1926"/>
  <c r="D1927"/>
  <c r="D1928"/>
  <c r="D1929"/>
  <c r="D1930"/>
  <c r="D1931"/>
  <c r="D1932"/>
  <c r="D1933"/>
  <c r="D1934"/>
  <c r="D1935"/>
  <c r="D1936"/>
  <c r="D1937"/>
  <c r="D1938"/>
  <c r="D1939"/>
  <c r="D1940"/>
  <c r="D1941"/>
  <c r="D1942"/>
  <c r="D1943"/>
  <c r="D1944"/>
  <c r="D1945"/>
  <c r="D1946"/>
  <c r="D1947"/>
  <c r="D1948"/>
  <c r="D1949"/>
  <c r="D1950"/>
  <c r="D1951"/>
  <c r="D1952"/>
  <c r="D1953"/>
  <c r="D1954"/>
  <c r="D1955"/>
  <c r="D1956"/>
  <c r="D1957"/>
  <c r="D1958"/>
  <c r="D1959"/>
  <c r="D1960"/>
  <c r="D1961"/>
  <c r="D1962"/>
  <c r="D1963"/>
  <c r="D1964"/>
  <c r="D1965"/>
  <c r="D1966"/>
  <c r="D1967"/>
  <c r="D1968"/>
  <c r="D1969"/>
  <c r="D1970"/>
  <c r="D1971"/>
  <c r="D1972"/>
  <c r="D1973"/>
  <c r="D1974"/>
  <c r="D1975"/>
  <c r="D1976"/>
  <c r="D1977"/>
  <c r="D1978"/>
  <c r="D1979"/>
  <c r="D1980"/>
  <c r="D1981"/>
  <c r="D1982"/>
  <c r="D1983"/>
  <c r="D1984"/>
  <c r="D1985"/>
  <c r="D1986"/>
  <c r="D1987"/>
  <c r="D1988"/>
  <c r="D1989"/>
  <c r="D1990"/>
  <c r="D1991"/>
  <c r="D1992"/>
  <c r="D1993"/>
  <c r="D1994"/>
  <c r="D1995"/>
  <c r="D1996"/>
  <c r="D1997"/>
  <c r="D1998"/>
  <c r="D1999"/>
  <c r="D2000"/>
  <c r="D2001"/>
  <c r="D2002"/>
  <c r="D2003"/>
  <c r="D2004"/>
  <c r="D2005"/>
  <c r="D2006"/>
  <c r="D2007"/>
  <c r="D2008"/>
  <c r="D2009"/>
  <c r="D2010"/>
  <c r="D2011"/>
  <c r="D2012"/>
  <c r="D2013"/>
  <c r="D2014"/>
  <c r="D2015"/>
  <c r="D2016"/>
  <c r="D2017"/>
  <c r="D2018"/>
  <c r="D2019"/>
  <c r="D2020"/>
  <c r="D2021"/>
  <c r="D2022"/>
  <c r="D2023"/>
  <c r="D2024"/>
  <c r="D2025"/>
  <c r="D2026"/>
  <c r="D2027"/>
  <c r="D2028"/>
  <c r="D2029"/>
  <c r="D2030"/>
  <c r="D2031"/>
  <c r="D2032"/>
  <c r="D2033"/>
  <c r="D2034"/>
  <c r="D2035"/>
  <c r="D2036"/>
  <c r="D2037"/>
  <c r="D2038"/>
  <c r="D2039"/>
  <c r="D2040"/>
  <c r="D2041"/>
  <c r="D2042"/>
  <c r="D2043"/>
  <c r="D2044"/>
  <c r="D2045"/>
  <c r="D2046"/>
  <c r="D2047"/>
  <c r="D2048"/>
  <c r="D2049"/>
  <c r="D2050"/>
  <c r="D2051"/>
  <c r="D2052"/>
  <c r="D2053"/>
  <c r="D2054"/>
  <c r="D2055"/>
  <c r="D2056"/>
  <c r="D2057"/>
  <c r="D2058"/>
  <c r="D2059"/>
  <c r="D2060"/>
  <c r="D2061"/>
  <c r="D2062"/>
  <c r="D2063"/>
  <c r="D2064"/>
  <c r="D2065"/>
  <c r="D2066"/>
  <c r="D2067"/>
  <c r="D2068"/>
  <c r="D2069"/>
  <c r="D2070"/>
  <c r="D2071"/>
  <c r="D2072"/>
  <c r="D2073"/>
  <c r="D2074"/>
  <c r="D2075"/>
  <c r="D2076"/>
  <c r="D2077"/>
  <c r="D2078"/>
  <c r="D2079"/>
  <c r="D2080"/>
  <c r="D2081"/>
  <c r="D2082"/>
  <c r="D2083"/>
  <c r="D2084"/>
  <c r="D2085"/>
  <c r="D2086"/>
  <c r="D2087"/>
  <c r="D2088"/>
  <c r="D2089"/>
  <c r="D2090"/>
  <c r="D2091"/>
  <c r="D2092"/>
  <c r="D2093"/>
  <c r="D2094"/>
  <c r="D2095"/>
  <c r="D2096"/>
  <c r="D2097"/>
  <c r="D2098"/>
  <c r="D2099"/>
  <c r="D2100"/>
  <c r="D2101"/>
  <c r="D2102"/>
  <c r="D2103"/>
  <c r="D2104"/>
  <c r="D2105"/>
  <c r="D2106"/>
  <c r="D2107"/>
  <c r="D2108"/>
  <c r="D2109"/>
  <c r="D2110"/>
  <c r="D2111"/>
  <c r="D2112"/>
  <c r="D2113"/>
  <c r="D2114"/>
  <c r="D2115"/>
  <c r="D2116"/>
  <c r="D2117"/>
  <c r="D2118"/>
  <c r="D2119"/>
  <c r="D2120"/>
  <c r="D2121"/>
  <c r="D2122"/>
  <c r="D2123"/>
  <c r="D2124"/>
  <c r="D2125"/>
  <c r="D2126"/>
  <c r="D2127"/>
  <c r="D2128"/>
  <c r="D2129"/>
  <c r="D2130"/>
  <c r="D2131"/>
  <c r="D2132"/>
  <c r="D2133"/>
  <c r="D2134"/>
  <c r="D2135"/>
  <c r="D2136"/>
  <c r="D2137"/>
  <c r="D2138"/>
  <c r="D2139"/>
  <c r="D2140"/>
  <c r="D2141"/>
  <c r="D2142"/>
  <c r="D2143"/>
  <c r="D2144"/>
  <c r="D2145"/>
  <c r="D2146"/>
  <c r="D2147"/>
  <c r="D2148"/>
  <c r="D2149"/>
  <c r="D2150"/>
  <c r="D2151"/>
  <c r="D2152"/>
  <c r="D2153"/>
  <c r="D2154"/>
  <c r="D2155"/>
  <c r="D2156"/>
  <c r="D2157"/>
  <c r="D2158"/>
  <c r="D2159"/>
  <c r="D2160"/>
  <c r="D2161"/>
  <c r="D2162"/>
  <c r="D2163"/>
  <c r="D2164"/>
  <c r="D2165"/>
  <c r="D2166"/>
  <c r="D2167"/>
  <c r="D2168"/>
  <c r="D2169"/>
  <c r="D2170"/>
  <c r="D2171"/>
  <c r="D2172"/>
  <c r="D2173"/>
  <c r="D2174"/>
  <c r="D2175"/>
  <c r="D2176"/>
  <c r="D2177"/>
  <c r="D2178"/>
  <c r="D2179"/>
  <c r="D2180"/>
  <c r="D2181"/>
  <c r="D2182"/>
  <c r="D2183"/>
  <c r="D2184"/>
  <c r="D2185"/>
  <c r="D2186"/>
  <c r="D2187"/>
  <c r="D2188"/>
  <c r="D2189"/>
  <c r="D2190"/>
  <c r="D2191"/>
  <c r="D2192"/>
  <c r="D2193"/>
  <c r="D2194"/>
  <c r="D2195"/>
  <c r="D2196"/>
  <c r="D2197"/>
  <c r="D2198"/>
  <c r="D2199"/>
  <c r="D2200"/>
  <c r="D2201"/>
  <c r="D2202"/>
  <c r="D2203"/>
  <c r="D2204"/>
  <c r="D2205"/>
  <c r="D2206"/>
  <c r="D2207"/>
  <c r="D2208"/>
  <c r="D2209"/>
  <c r="D2210"/>
  <c r="D2211"/>
  <c r="D2212"/>
  <c r="D2213"/>
  <c r="D2214"/>
  <c r="D2215"/>
  <c r="D2216"/>
  <c r="D2217"/>
  <c r="D2218"/>
  <c r="D2219"/>
  <c r="D2220"/>
  <c r="D2221"/>
  <c r="D2222"/>
  <c r="D2223"/>
  <c r="D2224"/>
  <c r="D2225"/>
  <c r="D2226"/>
  <c r="D2227"/>
  <c r="D2228"/>
  <c r="D2229"/>
  <c r="D2230"/>
  <c r="D2231"/>
  <c r="D2232"/>
  <c r="D2233"/>
  <c r="D2234"/>
  <c r="D2235"/>
  <c r="D2236"/>
  <c r="D2237"/>
  <c r="D2238"/>
  <c r="D2239"/>
  <c r="D2240"/>
  <c r="D2241"/>
  <c r="D2242"/>
  <c r="D2243"/>
  <c r="D2244"/>
  <c r="D2245"/>
  <c r="D2246"/>
  <c r="D2247"/>
  <c r="D2248"/>
  <c r="D2249"/>
  <c r="D2250"/>
  <c r="D2251"/>
  <c r="D2252"/>
  <c r="D2253"/>
  <c r="D2254"/>
  <c r="D2255"/>
  <c r="D2256"/>
  <c r="D2257"/>
  <c r="D2258"/>
  <c r="D2259"/>
  <c r="D2260"/>
  <c r="D2261"/>
  <c r="D2262"/>
  <c r="D2263"/>
  <c r="D2264"/>
  <c r="D2265"/>
  <c r="D2266"/>
  <c r="D2267"/>
  <c r="D2268"/>
  <c r="D2269"/>
  <c r="D2270"/>
  <c r="D2271"/>
  <c r="D2272"/>
  <c r="D2273"/>
  <c r="D2274"/>
  <c r="D2275"/>
  <c r="D2276"/>
  <c r="D2277"/>
  <c r="D2278"/>
  <c r="D2279"/>
  <c r="D2280"/>
  <c r="D2281"/>
  <c r="D2282"/>
  <c r="D2283"/>
  <c r="D2284"/>
  <c r="D2285"/>
  <c r="D2286"/>
  <c r="D2287"/>
  <c r="D2288"/>
  <c r="D2289"/>
  <c r="D2290"/>
  <c r="D2291"/>
  <c r="D2292"/>
  <c r="D2293"/>
  <c r="D2294"/>
  <c r="D2295"/>
  <c r="D2296"/>
  <c r="D2297"/>
  <c r="D2298"/>
  <c r="D2299"/>
  <c r="D2300"/>
  <c r="D2301"/>
  <c r="D2302"/>
  <c r="D2303"/>
  <c r="D2304"/>
  <c r="D2305"/>
  <c r="D2306"/>
  <c r="D2307"/>
  <c r="D2308"/>
  <c r="D2309"/>
  <c r="D2310"/>
  <c r="D2311"/>
  <c r="D2312"/>
  <c r="D2313"/>
  <c r="D2314"/>
  <c r="D2315"/>
  <c r="D2316"/>
  <c r="D2317"/>
  <c r="D2318"/>
  <c r="D2319"/>
  <c r="D2320"/>
  <c r="D2321"/>
  <c r="D2322"/>
  <c r="D2323"/>
  <c r="D2324"/>
  <c r="D2325"/>
  <c r="D2326"/>
  <c r="D2327"/>
  <c r="D2328"/>
  <c r="D2329"/>
  <c r="D2330"/>
  <c r="D2331"/>
  <c r="D2332"/>
  <c r="D2333"/>
  <c r="D2334"/>
  <c r="D2335"/>
  <c r="D2336"/>
  <c r="D2337"/>
  <c r="D2338"/>
  <c r="D2339"/>
  <c r="D2340"/>
  <c r="D2341"/>
  <c r="D2342"/>
  <c r="D2343"/>
  <c r="D2344"/>
  <c r="D2345"/>
  <c r="D2346"/>
  <c r="D2347"/>
  <c r="D2348"/>
  <c r="D2349"/>
  <c r="D2350"/>
  <c r="D2351"/>
  <c r="D2352"/>
  <c r="D2353"/>
  <c r="D2354"/>
  <c r="D2355"/>
  <c r="D2356"/>
  <c r="D2357"/>
  <c r="D2358"/>
  <c r="D2359"/>
  <c r="D2360"/>
  <c r="D2361"/>
  <c r="D2362"/>
  <c r="D2363"/>
  <c r="D2364"/>
  <c r="D2365"/>
  <c r="D2366"/>
  <c r="D2367"/>
  <c r="D2368"/>
  <c r="D2369"/>
  <c r="D2370"/>
  <c r="D2371"/>
  <c r="D2372"/>
  <c r="D2373"/>
  <c r="D2374"/>
  <c r="D2375"/>
  <c r="D2376"/>
  <c r="D2377"/>
  <c r="D2378"/>
  <c r="D2379"/>
  <c r="D2380"/>
  <c r="D2381"/>
  <c r="D2382"/>
  <c r="D2383"/>
  <c r="D2384"/>
  <c r="D2385"/>
  <c r="D2386"/>
  <c r="D2387"/>
  <c r="D2388"/>
  <c r="D2389"/>
  <c r="D2390"/>
  <c r="D2391"/>
  <c r="D2392"/>
  <c r="D2393"/>
  <c r="D2394"/>
  <c r="D2395"/>
  <c r="D2396"/>
  <c r="D2397"/>
  <c r="D2398"/>
  <c r="D2399"/>
  <c r="D2400"/>
  <c r="D2401"/>
  <c r="D2402"/>
  <c r="D2403"/>
  <c r="D2404"/>
  <c r="D2405"/>
  <c r="D2406"/>
  <c r="D2407"/>
  <c r="D2408"/>
  <c r="D2409"/>
  <c r="D2410"/>
  <c r="D2411"/>
  <c r="D2412"/>
  <c r="D2413"/>
  <c r="D2414"/>
  <c r="D2415"/>
  <c r="D2416"/>
  <c r="D2417"/>
  <c r="D2418"/>
  <c r="D2419"/>
  <c r="D2420"/>
  <c r="D2421"/>
  <c r="D2422"/>
  <c r="D2423"/>
  <c r="D2424"/>
  <c r="D2425"/>
  <c r="D2426"/>
  <c r="D2427"/>
  <c r="D2428"/>
  <c r="D2429"/>
  <c r="D2430"/>
  <c r="D2431"/>
  <c r="D2432"/>
  <c r="D2433"/>
  <c r="D2434"/>
  <c r="D2435"/>
  <c r="D2436"/>
  <c r="D2437"/>
  <c r="D2438"/>
  <c r="D2439"/>
  <c r="D2440"/>
  <c r="D2441"/>
  <c r="D2442"/>
  <c r="D2443"/>
  <c r="D2444"/>
  <c r="D2445"/>
  <c r="D2446"/>
  <c r="D2447"/>
  <c r="D2448"/>
  <c r="D2449"/>
  <c r="D2450"/>
  <c r="D2451"/>
  <c r="D2452"/>
  <c r="D2453"/>
  <c r="D2454"/>
  <c r="D2455"/>
  <c r="D2456"/>
  <c r="D2457"/>
  <c r="D2458"/>
  <c r="D2459"/>
  <c r="D2460"/>
  <c r="D2461"/>
  <c r="D2462"/>
  <c r="D2463"/>
  <c r="D2464"/>
  <c r="D2465"/>
  <c r="D2466"/>
  <c r="D2467"/>
  <c r="D2468"/>
  <c r="D2469"/>
  <c r="D2470"/>
  <c r="D2471"/>
  <c r="D2472"/>
  <c r="D2473"/>
  <c r="D2474"/>
  <c r="D2475"/>
  <c r="D2476"/>
  <c r="D2477"/>
  <c r="D2478"/>
  <c r="D2479"/>
  <c r="D2480"/>
  <c r="D2481"/>
  <c r="D2482"/>
  <c r="D2483"/>
  <c r="D2484"/>
  <c r="D2485"/>
  <c r="D2486"/>
  <c r="D2487"/>
  <c r="D2488"/>
  <c r="D2489"/>
  <c r="D2490"/>
  <c r="D2491"/>
  <c r="D2492"/>
  <c r="D2493"/>
  <c r="D2494"/>
  <c r="D2495"/>
  <c r="D2496"/>
  <c r="D2497"/>
  <c r="D2498"/>
  <c r="D2499"/>
  <c r="D2500"/>
  <c r="D2501"/>
  <c r="D2502"/>
  <c r="D2503"/>
  <c r="D2504"/>
  <c r="D2505"/>
  <c r="D2506"/>
  <c r="D2507"/>
  <c r="D2508"/>
  <c r="D2509"/>
  <c r="D2510"/>
  <c r="D2511"/>
  <c r="D2512"/>
  <c r="D2513"/>
  <c r="D2514"/>
  <c r="D2515"/>
  <c r="D2516"/>
  <c r="D2517"/>
  <c r="D2518"/>
  <c r="D2519"/>
  <c r="D2520"/>
  <c r="D2521"/>
  <c r="D2522"/>
  <c r="D2523"/>
  <c r="D2524"/>
  <c r="D2525"/>
  <c r="D2526"/>
  <c r="D2527"/>
  <c r="D2528"/>
  <c r="D2529"/>
  <c r="D2530"/>
  <c r="D2531"/>
  <c r="D2532"/>
  <c r="D2533"/>
  <c r="D2534"/>
  <c r="D2535"/>
  <c r="D2536"/>
  <c r="D2537"/>
  <c r="D2538"/>
  <c r="D2539"/>
  <c r="D2540"/>
  <c r="D2541"/>
  <c r="D2542"/>
  <c r="D2543"/>
  <c r="D2544"/>
  <c r="D2545"/>
  <c r="D2546"/>
  <c r="D2547"/>
  <c r="D2548"/>
  <c r="D2549"/>
  <c r="D2550"/>
  <c r="D2551"/>
  <c r="D2552"/>
  <c r="D2553"/>
  <c r="D2554"/>
  <c r="D2555"/>
  <c r="D2556"/>
  <c r="D2557"/>
  <c r="D2558"/>
  <c r="D2559"/>
  <c r="D2560"/>
  <c r="D2561"/>
  <c r="D2562"/>
  <c r="D2563"/>
  <c r="D2564"/>
  <c r="D2565"/>
  <c r="D2566"/>
  <c r="D2567"/>
  <c r="D2568"/>
  <c r="D2569"/>
  <c r="D2570"/>
  <c r="D2571"/>
  <c r="D2572"/>
  <c r="D2573"/>
  <c r="D2574"/>
  <c r="D2575"/>
  <c r="D2576"/>
  <c r="D2577"/>
  <c r="D2578"/>
  <c r="D2579"/>
  <c r="D2580"/>
  <c r="D2581"/>
  <c r="D2582"/>
  <c r="D2583"/>
  <c r="D2584"/>
  <c r="D2585"/>
  <c r="D2586"/>
  <c r="D2587"/>
  <c r="D2588"/>
  <c r="D2589"/>
  <c r="D2590"/>
  <c r="D2591"/>
  <c r="D2592"/>
  <c r="D2593"/>
  <c r="D2594"/>
  <c r="D2595"/>
  <c r="D2596"/>
  <c r="D2597"/>
  <c r="D2598"/>
  <c r="D2599"/>
  <c r="D2600"/>
  <c r="D2601"/>
  <c r="D2602"/>
  <c r="D2603"/>
  <c r="D2604"/>
  <c r="D2605"/>
  <c r="D2606"/>
  <c r="D2607"/>
  <c r="D2608"/>
  <c r="D2609"/>
  <c r="D2610"/>
  <c r="D2611"/>
  <c r="D2612"/>
  <c r="D2613"/>
  <c r="D2614"/>
  <c r="D2615"/>
  <c r="D2616"/>
  <c r="D2617"/>
  <c r="D2618"/>
  <c r="D2619"/>
  <c r="D2620"/>
  <c r="D2621"/>
  <c r="D2622"/>
  <c r="D2623"/>
  <c r="D2624"/>
  <c r="D2625"/>
  <c r="D2626"/>
  <c r="D2627"/>
  <c r="D2628"/>
  <c r="D2629"/>
  <c r="D2630"/>
  <c r="D2631"/>
  <c r="D2632"/>
  <c r="D2633"/>
  <c r="D2634"/>
  <c r="D2635"/>
  <c r="D2636"/>
  <c r="D2637"/>
  <c r="D2638"/>
  <c r="D2639"/>
  <c r="D2640"/>
  <c r="D2641"/>
  <c r="D2642"/>
  <c r="D2643"/>
  <c r="D2644"/>
  <c r="D2645"/>
  <c r="D2646"/>
  <c r="D2647"/>
  <c r="D2648"/>
  <c r="D2649"/>
  <c r="D2650"/>
  <c r="D2651"/>
  <c r="D2652"/>
  <c r="D2653"/>
  <c r="D2654"/>
  <c r="D2655"/>
  <c r="D2656"/>
  <c r="D2657"/>
  <c r="D2658"/>
  <c r="D2659"/>
  <c r="D2660"/>
  <c r="D2661"/>
  <c r="D2662"/>
  <c r="D2663"/>
  <c r="D2664"/>
  <c r="D2665"/>
  <c r="D2666"/>
  <c r="D2667"/>
  <c r="D2668"/>
  <c r="D2669"/>
  <c r="D2670"/>
  <c r="D2671"/>
  <c r="D2672"/>
  <c r="D2673"/>
  <c r="D2674"/>
  <c r="D2675"/>
  <c r="D2676"/>
  <c r="D2677"/>
  <c r="D2678"/>
  <c r="D2679"/>
  <c r="D2680"/>
  <c r="D2681"/>
  <c r="C3"/>
  <c r="L17" i="3"/>
  <c r="C4" i="5" l="1"/>
  <c r="C5" s="1"/>
  <c r="C6" s="1"/>
  <c r="W8" i="3"/>
  <c r="P17"/>
  <c r="L15"/>
  <c r="Q13"/>
  <c r="M13"/>
  <c r="P7"/>
  <c r="Q6" s="1"/>
  <c r="C7" i="5" l="1"/>
  <c r="C8" s="1"/>
  <c r="L16" i="3"/>
  <c r="W19"/>
  <c r="L19"/>
  <c r="L8"/>
  <c r="L15" i="1"/>
  <c r="C9" i="5" l="1"/>
  <c r="L18" i="3"/>
  <c r="N13"/>
  <c r="L17" i="1"/>
  <c r="P17" s="1"/>
  <c r="N13"/>
  <c r="L16" s="1"/>
  <c r="M13"/>
  <c r="L19" s="1"/>
  <c r="P7"/>
  <c r="Q13"/>
  <c r="C10" i="5" l="1"/>
  <c r="C11" s="1"/>
  <c r="X5" i="3"/>
  <c r="L8" i="1"/>
  <c r="L18"/>
  <c r="C12" i="5" l="1"/>
  <c r="W5" i="3"/>
  <c r="J9" s="1"/>
  <c r="J9" i="1"/>
  <c r="J20" s="1"/>
  <c r="C13" i="5" l="1"/>
  <c r="J10" i="3"/>
  <c r="X16"/>
  <c r="J10" i="1"/>
  <c r="C14" i="5" l="1"/>
  <c r="W16" i="3"/>
  <c r="C16" i="5" l="1"/>
  <c r="C17" s="1"/>
  <c r="C15"/>
  <c r="L20" i="3"/>
  <c r="L21" s="1"/>
  <c r="C18" i="5" l="1"/>
  <c r="C19" l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l="1"/>
  <c r="C34" s="1"/>
  <c r="C35" s="1"/>
  <c r="C36" s="1"/>
  <c r="C37" l="1"/>
  <c r="C38" s="1"/>
  <c r="C39" l="1"/>
  <c r="C40" l="1"/>
  <c r="C41" l="1"/>
  <c r="C42" s="1"/>
  <c r="C43" l="1"/>
  <c r="C44" s="1"/>
  <c r="C45" l="1"/>
  <c r="C46" l="1"/>
  <c r="C47" l="1"/>
  <c r="C48" s="1"/>
  <c r="C49" l="1"/>
  <c r="C50" s="1"/>
  <c r="C51" l="1"/>
  <c r="C52" s="1"/>
  <c r="C53" l="1"/>
  <c r="C54" s="1"/>
  <c r="C55" l="1"/>
  <c r="C56" s="1"/>
  <c r="C57" l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l="1"/>
  <c r="C73" s="1"/>
  <c r="C74" s="1"/>
  <c r="C75" s="1"/>
  <c r="C76" s="1"/>
  <c r="C77" s="1"/>
  <c r="C78" s="1"/>
  <c r="C79" l="1"/>
  <c r="C80" l="1"/>
  <c r="C81" s="1"/>
  <c r="C82" s="1"/>
  <c r="C83" l="1"/>
  <c r="C84" s="1"/>
  <c r="C85" s="1"/>
  <c r="C86" s="1"/>
  <c r="C87" l="1"/>
  <c r="C88" s="1"/>
  <c r="C89" s="1"/>
  <c r="C90" s="1"/>
  <c r="C91" l="1"/>
  <c r="C92" s="1"/>
  <c r="C93" l="1"/>
  <c r="C94" l="1"/>
  <c r="C95" l="1"/>
  <c r="C96" s="1"/>
  <c r="C97" s="1"/>
  <c r="C98" l="1"/>
  <c r="C99" s="1"/>
  <c r="C100" s="1"/>
  <c r="C101" s="1"/>
  <c r="C102" s="1"/>
  <c r="C103" s="1"/>
  <c r="C104" s="1"/>
  <c r="C105" s="1"/>
  <c r="C106" s="1"/>
  <c r="C107" s="1"/>
  <c r="C108" s="1"/>
  <c r="C109" s="1"/>
  <c r="C110" l="1"/>
  <c r="C111" s="1"/>
  <c r="C112" s="1"/>
  <c r="C113" s="1"/>
  <c r="C114" l="1"/>
  <c r="C115" s="1"/>
  <c r="C116" l="1"/>
  <c r="C117" s="1"/>
  <c r="C118" s="1"/>
  <c r="C119" l="1"/>
  <c r="C120" s="1"/>
  <c r="C121" s="1"/>
  <c r="C122" s="1"/>
  <c r="C123" l="1"/>
  <c r="C124" s="1"/>
  <c r="C125" s="1"/>
  <c r="C126" s="1"/>
  <c r="C127" s="1"/>
  <c r="C128" s="1"/>
  <c r="C129" l="1"/>
  <c r="C130" s="1"/>
  <c r="C131" s="1"/>
  <c r="C132" s="1"/>
  <c r="C133" l="1"/>
  <c r="C134" s="1"/>
  <c r="C135" l="1"/>
  <c r="C136" s="1"/>
  <c r="C137" s="1"/>
  <c r="C138" l="1"/>
  <c r="C139" s="1"/>
  <c r="C140" s="1"/>
  <c r="C141" l="1"/>
  <c r="C142" s="1"/>
  <c r="C143" l="1"/>
  <c r="C144" s="1"/>
  <c r="C145" l="1"/>
  <c r="C146" s="1"/>
  <c r="C147" s="1"/>
  <c r="C148" l="1"/>
  <c r="C149" s="1"/>
  <c r="C150" l="1"/>
  <c r="C151" s="1"/>
  <c r="C152" s="1"/>
  <c r="C153" s="1"/>
  <c r="C154" l="1"/>
  <c r="C155" s="1"/>
  <c r="C156" l="1"/>
  <c r="C157" s="1"/>
  <c r="C158" l="1"/>
  <c r="C159" s="1"/>
  <c r="C160" s="1"/>
  <c r="C161" s="1"/>
  <c r="C162" s="1"/>
  <c r="C163" l="1"/>
  <c r="C164" s="1"/>
  <c r="C165" l="1"/>
  <c r="C166" s="1"/>
  <c r="C167" s="1"/>
  <c r="C168" s="1"/>
  <c r="C169" l="1"/>
  <c r="C170" s="1"/>
  <c r="C171" l="1"/>
  <c r="C172" s="1"/>
  <c r="C173" s="1"/>
  <c r="C174" l="1"/>
  <c r="C175" s="1"/>
  <c r="C176" s="1"/>
  <c r="C177" l="1"/>
  <c r="C178" s="1"/>
  <c r="C179" l="1"/>
  <c r="C180" s="1"/>
  <c r="C182" l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181"/>
  <c r="C231" l="1"/>
  <c r="C232" s="1"/>
  <c r="C233" s="1"/>
  <c r="C234" s="1"/>
  <c r="C235" l="1"/>
  <c r="C236" s="1"/>
  <c r="C237" s="1"/>
  <c r="C238" l="1"/>
  <c r="C239" s="1"/>
  <c r="C240" s="1"/>
  <c r="C241" l="1"/>
  <c r="C242" s="1"/>
  <c r="C243" s="1"/>
  <c r="C244" s="1"/>
  <c r="C245" l="1"/>
  <c r="C246" s="1"/>
  <c r="C247" l="1"/>
  <c r="C248" s="1"/>
  <c r="C249" s="1"/>
  <c r="C250" s="1"/>
  <c r="C251" l="1"/>
  <c r="C252" s="1"/>
  <c r="C253" l="1"/>
  <c r="C254" s="1"/>
  <c r="C255" l="1"/>
  <c r="C256" s="1"/>
  <c r="C257" l="1"/>
  <c r="C258" s="1"/>
  <c r="C259" l="1"/>
  <c r="C260" s="1"/>
  <c r="C261" l="1"/>
  <c r="C262" s="1"/>
  <c r="C263" l="1"/>
  <c r="C264" s="1"/>
  <c r="C265" s="1"/>
  <c r="C266" l="1"/>
  <c r="C267" s="1"/>
  <c r="C268" s="1"/>
  <c r="C269" l="1"/>
  <c r="C270" s="1"/>
  <c r="C271" s="1"/>
  <c r="C272" l="1"/>
  <c r="C273" s="1"/>
  <c r="C274" l="1"/>
  <c r="C275" s="1"/>
  <c r="C276" l="1"/>
  <c r="C277" s="1"/>
  <c r="C278" s="1"/>
  <c r="C279" s="1"/>
  <c r="C280" s="1"/>
  <c r="C281" s="1"/>
  <c r="C282" l="1"/>
  <c r="C283" s="1"/>
  <c r="C284" l="1"/>
  <c r="C285" s="1"/>
  <c r="C286" s="1"/>
  <c r="C287" s="1"/>
  <c r="C288" l="1"/>
  <c r="C289" s="1"/>
  <c r="C290" l="1"/>
  <c r="C291" s="1"/>
  <c r="C292" l="1"/>
  <c r="C293" s="1"/>
  <c r="C294" l="1"/>
  <c r="C295" s="1"/>
  <c r="C296" l="1"/>
  <c r="C297" s="1"/>
  <c r="C298" l="1"/>
  <c r="C299" s="1"/>
  <c r="C300" s="1"/>
  <c r="C301" s="1"/>
  <c r="C302" s="1"/>
  <c r="C303" l="1"/>
  <c r="C304" s="1"/>
  <c r="C305" l="1"/>
  <c r="C306" s="1"/>
  <c r="C307" l="1"/>
  <c r="C308" s="1"/>
  <c r="C309" l="1"/>
  <c r="C310" s="1"/>
  <c r="C311" s="1"/>
  <c r="C312" l="1"/>
  <c r="C313" s="1"/>
  <c r="C314" l="1"/>
  <c r="C315" s="1"/>
  <c r="C316" s="1"/>
  <c r="C317" s="1"/>
  <c r="C318" l="1"/>
  <c r="C319" s="1"/>
  <c r="C320" l="1"/>
  <c r="C321" s="1"/>
  <c r="C322" l="1"/>
  <c r="C323" s="1"/>
  <c r="C324" s="1"/>
  <c r="C325" l="1"/>
  <c r="C326" s="1"/>
  <c r="C327" l="1"/>
  <c r="C328" s="1"/>
  <c r="C329" l="1"/>
  <c r="C330" s="1"/>
  <c r="C331" s="1"/>
  <c r="C332" s="1"/>
  <c r="C333" l="1"/>
  <c r="C334" s="1"/>
  <c r="C335" s="1"/>
  <c r="C336" l="1"/>
  <c r="C337" s="1"/>
  <c r="C338" l="1"/>
  <c r="C339" s="1"/>
  <c r="C340" l="1"/>
  <c r="C341" s="1"/>
  <c r="C342" l="1"/>
  <c r="C343" s="1"/>
  <c r="C344" s="1"/>
  <c r="C345" s="1"/>
  <c r="C346" s="1"/>
  <c r="C347" s="1"/>
  <c r="C348" l="1"/>
  <c r="C349" s="1"/>
  <c r="C350" l="1"/>
  <c r="C351" s="1"/>
  <c r="C352" l="1"/>
  <c r="C353" s="1"/>
  <c r="C354" l="1"/>
  <c r="C355" s="1"/>
  <c r="C356" s="1"/>
  <c r="C357" l="1"/>
  <c r="C358" s="1"/>
  <c r="C359" l="1"/>
  <c r="C360" s="1"/>
  <c r="C361" l="1"/>
  <c r="C362" s="1"/>
  <c r="C363" l="1"/>
  <c r="C364" s="1"/>
  <c r="C365" s="1"/>
  <c r="C366" s="1"/>
  <c r="C367" l="1"/>
  <c r="C368" s="1"/>
  <c r="C369" s="1"/>
  <c r="C370" s="1"/>
  <c r="C371" l="1"/>
  <c r="C372" s="1"/>
  <c r="C373" s="1"/>
  <c r="C374" s="1"/>
  <c r="C375" s="1"/>
  <c r="C376" l="1"/>
  <c r="C377" s="1"/>
  <c r="C378" l="1"/>
  <c r="C379" s="1"/>
  <c r="C380" l="1"/>
  <c r="C381" s="1"/>
  <c r="C382" s="1"/>
  <c r="C383" l="1"/>
  <c r="C384" s="1"/>
  <c r="C385" s="1"/>
  <c r="C386" l="1"/>
  <c r="C387" s="1"/>
  <c r="C388" s="1"/>
  <c r="C389" s="1"/>
  <c r="C390" l="1"/>
  <c r="C391" s="1"/>
  <c r="C392" s="1"/>
  <c r="C393" s="1"/>
  <c r="C394" s="1"/>
  <c r="C395" l="1"/>
  <c r="C396" l="1"/>
  <c r="C397" s="1"/>
  <c r="C398" s="1"/>
  <c r="C399" s="1"/>
  <c r="C400" l="1"/>
  <c r="C401" l="1"/>
  <c r="C402" s="1"/>
  <c r="C403" s="1"/>
  <c r="C404" l="1"/>
  <c r="C405" s="1"/>
  <c r="C406" s="1"/>
  <c r="C407" l="1"/>
  <c r="C408" s="1"/>
  <c r="C409" l="1"/>
  <c r="C410" s="1"/>
  <c r="C411" l="1"/>
  <c r="C412" s="1"/>
  <c r="C413" l="1"/>
  <c r="C414" s="1"/>
  <c r="C415" s="1"/>
  <c r="C416" l="1"/>
  <c r="C417" s="1"/>
  <c r="C418" l="1"/>
  <c r="C419" s="1"/>
  <c r="C420" l="1"/>
  <c r="C421" s="1"/>
  <c r="C422" l="1"/>
  <c r="C423" s="1"/>
  <c r="C424" l="1"/>
  <c r="C425" s="1"/>
  <c r="C426" l="1"/>
  <c r="C427" s="1"/>
  <c r="C428" l="1"/>
  <c r="C429" s="1"/>
  <c r="C430" l="1"/>
  <c r="C431" s="1"/>
  <c r="C432" l="1"/>
  <c r="C433" s="1"/>
  <c r="C434" l="1"/>
  <c r="C435" s="1"/>
  <c r="C436" l="1"/>
  <c r="C437" s="1"/>
  <c r="C438" s="1"/>
  <c r="C439" s="1"/>
  <c r="C440" s="1"/>
  <c r="C441" l="1"/>
  <c r="C442" s="1"/>
  <c r="C443" l="1"/>
  <c r="C444" s="1"/>
  <c r="C445" l="1"/>
  <c r="C446" s="1"/>
  <c r="C447" l="1"/>
  <c r="C448" s="1"/>
  <c r="C449" s="1"/>
  <c r="C450" l="1"/>
  <c r="C451" s="1"/>
  <c r="C452" s="1"/>
  <c r="C453" l="1"/>
  <c r="C454" s="1"/>
  <c r="C455" l="1"/>
  <c r="C456" s="1"/>
  <c r="C457" l="1"/>
  <c r="C458" s="1"/>
  <c r="C459" s="1"/>
  <c r="C460" s="1"/>
  <c r="C461" s="1"/>
  <c r="C462" s="1"/>
  <c r="C463" s="1"/>
  <c r="C464" l="1"/>
  <c r="C465" s="1"/>
  <c r="C466" s="1"/>
  <c r="C467" l="1"/>
  <c r="C468" l="1"/>
  <c r="C469" s="1"/>
  <c r="C470" s="1"/>
  <c r="C471" s="1"/>
  <c r="C472" s="1"/>
  <c r="C473" l="1"/>
  <c r="C474" l="1"/>
  <c r="C475" s="1"/>
  <c r="C476" s="1"/>
  <c r="C477" s="1"/>
  <c r="C478" l="1"/>
  <c r="C479" l="1"/>
  <c r="C480" s="1"/>
  <c r="C481" s="1"/>
  <c r="C482" l="1"/>
  <c r="C483" l="1"/>
  <c r="C484" s="1"/>
  <c r="C485" s="1"/>
  <c r="C486" l="1"/>
  <c r="C487" l="1"/>
  <c r="C488" s="1"/>
  <c r="C489" l="1"/>
  <c r="C490" s="1"/>
  <c r="C491" l="1"/>
  <c r="C492" s="1"/>
  <c r="C493" s="1"/>
  <c r="C494" s="1"/>
  <c r="C495" l="1"/>
  <c r="C496" s="1"/>
  <c r="C497" l="1"/>
  <c r="C498" s="1"/>
  <c r="C499" l="1"/>
  <c r="C500" s="1"/>
  <c r="C501" s="1"/>
  <c r="C502" l="1"/>
  <c r="C503" s="1"/>
  <c r="C504" l="1"/>
  <c r="C505" s="1"/>
  <c r="C506" l="1"/>
  <c r="C507" s="1"/>
  <c r="C508" l="1"/>
  <c r="C509" s="1"/>
  <c r="C510" l="1"/>
  <c r="C511" s="1"/>
  <c r="C512" s="1"/>
  <c r="C513" l="1"/>
  <c r="C514" s="1"/>
  <c r="C515" l="1"/>
  <c r="C516" s="1"/>
  <c r="C517" l="1"/>
  <c r="C518" s="1"/>
  <c r="C519" l="1"/>
  <c r="C520" s="1"/>
  <c r="C521" l="1"/>
  <c r="C522" s="1"/>
  <c r="C523" s="1"/>
  <c r="C524" s="1"/>
  <c r="C525" s="1"/>
  <c r="C526" l="1"/>
  <c r="C527" s="1"/>
  <c r="C528" s="1"/>
  <c r="C529" s="1"/>
  <c r="C530" s="1"/>
  <c r="C531" s="1"/>
  <c r="C532" s="1"/>
  <c r="C533" s="1"/>
  <c r="C534" l="1"/>
  <c r="C535" s="1"/>
  <c r="C536" l="1"/>
  <c r="C537" s="1"/>
  <c r="C538" l="1"/>
  <c r="C539" s="1"/>
  <c r="C540" s="1"/>
  <c r="C541" s="1"/>
  <c r="C542" l="1"/>
  <c r="C543" s="1"/>
  <c r="C544" l="1"/>
  <c r="C545" s="1"/>
  <c r="C546" l="1"/>
  <c r="C547" s="1"/>
  <c r="C548" l="1"/>
  <c r="C549" s="1"/>
  <c r="C550" l="1"/>
  <c r="C551" s="1"/>
  <c r="C552" l="1"/>
  <c r="C553" s="1"/>
  <c r="C554" s="1"/>
  <c r="C555" s="1"/>
  <c r="C556" l="1"/>
  <c r="C557" s="1"/>
  <c r="C558" l="1"/>
  <c r="C559" s="1"/>
  <c r="C561" l="1"/>
  <c r="C562" s="1"/>
  <c r="C560"/>
  <c r="C563" l="1"/>
  <c r="C564" s="1"/>
  <c r="C565" l="1"/>
  <c r="C566" s="1"/>
  <c r="C567" s="1"/>
  <c r="C568" l="1"/>
  <c r="C569" s="1"/>
  <c r="C570" l="1"/>
  <c r="C571" s="1"/>
  <c r="C572" s="1"/>
  <c r="C573" l="1"/>
  <c r="C574" s="1"/>
  <c r="C575" s="1"/>
  <c r="C577" l="1"/>
  <c r="C578" s="1"/>
  <c r="C579" s="1"/>
  <c r="C576"/>
  <c r="C580" l="1"/>
  <c r="C581" s="1"/>
  <c r="C582" l="1"/>
  <c r="C583" s="1"/>
  <c r="C585" l="1"/>
  <c r="C584"/>
  <c r="C586" l="1"/>
  <c r="C587" s="1"/>
  <c r="C589" l="1"/>
  <c r="C590" s="1"/>
  <c r="C591" s="1"/>
  <c r="C588"/>
  <c r="C593" l="1"/>
  <c r="C594" s="1"/>
  <c r="C595" s="1"/>
  <c r="C592"/>
  <c r="C596" l="1"/>
  <c r="C597" s="1"/>
  <c r="C598" s="1"/>
  <c r="C599" l="1"/>
  <c r="C600" s="1"/>
  <c r="C601" s="1"/>
  <c r="C602" s="1"/>
  <c r="C603" l="1"/>
  <c r="C604" l="1"/>
  <c r="C605" s="1"/>
  <c r="C606" s="1"/>
  <c r="C607" s="1"/>
  <c r="C608" l="1"/>
  <c r="C609" l="1"/>
  <c r="C610" s="1"/>
  <c r="C611" s="1"/>
  <c r="C612" s="1"/>
  <c r="C613" l="1"/>
  <c r="C614" l="1"/>
  <c r="C615" s="1"/>
  <c r="C616" s="1"/>
  <c r="C617" l="1"/>
  <c r="C618" s="1"/>
  <c r="C619" l="1"/>
  <c r="C620" s="1"/>
  <c r="C621" l="1"/>
  <c r="C622" s="1"/>
  <c r="C623" l="1"/>
  <c r="C624" s="1"/>
  <c r="C625" l="1"/>
  <c r="C626" s="1"/>
  <c r="C627" l="1"/>
  <c r="C628" s="1"/>
  <c r="C629" s="1"/>
  <c r="C630" s="1"/>
  <c r="C631" l="1"/>
  <c r="C632" s="1"/>
  <c r="C633" s="1"/>
  <c r="C635" l="1"/>
  <c r="C636" s="1"/>
  <c r="C634"/>
  <c r="C638" l="1"/>
  <c r="C637"/>
  <c r="C639" l="1"/>
  <c r="C640" s="1"/>
  <c r="C641" s="1"/>
  <c r="C642" l="1"/>
  <c r="C643" s="1"/>
  <c r="C644" l="1"/>
  <c r="C645" s="1"/>
  <c r="C647" l="1"/>
  <c r="C646"/>
  <c r="C649" l="1"/>
  <c r="C650" s="1"/>
  <c r="C651" s="1"/>
  <c r="C652" s="1"/>
  <c r="C653" s="1"/>
  <c r="C654" s="1"/>
  <c r="C655" s="1"/>
  <c r="C656" s="1"/>
  <c r="C657" s="1"/>
  <c r="C658" s="1"/>
  <c r="C648"/>
  <c r="C659" l="1"/>
  <c r="C660" s="1"/>
  <c r="C661" l="1"/>
  <c r="C662" s="1"/>
  <c r="C663" l="1"/>
  <c r="C664" s="1"/>
  <c r="C665" s="1"/>
  <c r="C666" l="1"/>
  <c r="C667" s="1"/>
  <c r="C669" l="1"/>
  <c r="C668"/>
  <c r="C670" l="1"/>
  <c r="C671" s="1"/>
  <c r="C672" s="1"/>
  <c r="C673" s="1"/>
  <c r="C674" s="1"/>
  <c r="C675" l="1"/>
  <c r="C676" s="1"/>
  <c r="C678" l="1"/>
  <c r="C677"/>
  <c r="C679" l="1"/>
  <c r="C680" s="1"/>
  <c r="C681" l="1"/>
  <c r="C682" s="1"/>
  <c r="C683" s="1"/>
  <c r="C684" s="1"/>
  <c r="C685" s="1"/>
  <c r="C686" s="1"/>
  <c r="C687" s="1"/>
  <c r="C688" s="1"/>
  <c r="C689" s="1"/>
  <c r="C691" l="1"/>
  <c r="C692" s="1"/>
  <c r="C693" s="1"/>
  <c r="C690"/>
  <c r="C695" l="1"/>
  <c r="C694"/>
  <c r="C697" l="1"/>
  <c r="C696"/>
  <c r="C699" l="1"/>
  <c r="C700" s="1"/>
  <c r="C701" s="1"/>
  <c r="C702" s="1"/>
  <c r="C698"/>
  <c r="C704" l="1"/>
  <c r="C703"/>
  <c r="C706" l="1"/>
  <c r="C705"/>
  <c r="C708" l="1"/>
  <c r="C707"/>
  <c r="C709" l="1"/>
  <c r="C710" s="1"/>
  <c r="C711" l="1"/>
  <c r="C712" s="1"/>
  <c r="C713" s="1"/>
  <c r="C714" s="1"/>
  <c r="C715" s="1"/>
  <c r="C716" s="1"/>
  <c r="C717" l="1"/>
  <c r="C718" s="1"/>
  <c r="C719" s="1"/>
  <c r="C720" l="1"/>
  <c r="C721" s="1"/>
  <c r="C722" s="1"/>
  <c r="C723" s="1"/>
  <c r="C724" s="1"/>
  <c r="C725" l="1"/>
  <c r="C726" s="1"/>
  <c r="C727" s="1"/>
  <c r="C728" l="1"/>
  <c r="C729" s="1"/>
  <c r="C731" l="1"/>
  <c r="C732" s="1"/>
  <c r="C733" s="1"/>
  <c r="C734" s="1"/>
  <c r="C730"/>
  <c r="C736" l="1"/>
  <c r="C735"/>
  <c r="C737" l="1"/>
  <c r="C738" s="1"/>
  <c r="C739" l="1"/>
  <c r="C740" s="1"/>
  <c r="C742" l="1"/>
  <c r="C741"/>
  <c r="C743" l="1"/>
  <c r="C744" s="1"/>
  <c r="C745" s="1"/>
  <c r="C746" s="1"/>
  <c r="C747" l="1"/>
  <c r="C748" s="1"/>
  <c r="C749" l="1"/>
  <c r="C750" s="1"/>
  <c r="C751" s="1"/>
  <c r="C752" s="1"/>
  <c r="C753" s="1"/>
  <c r="C754" s="1"/>
  <c r="C755" s="1"/>
  <c r="C756" s="1"/>
  <c r="C757" s="1"/>
  <c r="C758" s="1"/>
  <c r="C759" s="1"/>
  <c r="C760" l="1"/>
  <c r="C761" s="1"/>
  <c r="C762" s="1"/>
  <c r="C763" s="1"/>
  <c r="C764" s="1"/>
  <c r="C765" l="1"/>
  <c r="C766" s="1"/>
  <c r="C767" l="1"/>
  <c r="C768" s="1"/>
  <c r="C769" l="1"/>
  <c r="C770" s="1"/>
  <c r="C771" s="1"/>
  <c r="C772" s="1"/>
  <c r="C773" l="1"/>
  <c r="C774" s="1"/>
  <c r="C775" s="1"/>
  <c r="C776" s="1"/>
  <c r="C777" s="1"/>
  <c r="C778" l="1"/>
  <c r="C779" s="1"/>
  <c r="C781" l="1"/>
  <c r="C782" s="1"/>
  <c r="C783" s="1"/>
  <c r="C780"/>
  <c r="C785" l="1"/>
  <c r="C784"/>
  <c r="C786" l="1"/>
  <c r="C787" s="1"/>
  <c r="C788" s="1"/>
  <c r="C789" s="1"/>
  <c r="C791" l="1"/>
  <c r="C790"/>
  <c r="C792" l="1"/>
  <c r="C793" s="1"/>
  <c r="C794" s="1"/>
  <c r="C795" l="1"/>
  <c r="C796" s="1"/>
  <c r="C797" s="1"/>
  <c r="C798" s="1"/>
  <c r="C799" l="1"/>
  <c r="C800" s="1"/>
  <c r="C801" s="1"/>
  <c r="C802" s="1"/>
  <c r="C803" s="1"/>
  <c r="C804" s="1"/>
  <c r="C805" l="1"/>
  <c r="C806" s="1"/>
  <c r="C807" l="1"/>
  <c r="C808" s="1"/>
  <c r="C809" l="1"/>
  <c r="C810" s="1"/>
  <c r="C811" s="1"/>
  <c r="C812" l="1"/>
  <c r="C813" s="1"/>
  <c r="C814" l="1"/>
  <c r="C815" s="1"/>
  <c r="C816" l="1"/>
  <c r="C817" s="1"/>
  <c r="C818" s="1"/>
  <c r="C819" l="1"/>
  <c r="C820" s="1"/>
  <c r="C821" l="1"/>
  <c r="C822" s="1"/>
  <c r="C823" s="1"/>
  <c r="C824" s="1"/>
  <c r="C825" l="1"/>
  <c r="C826" s="1"/>
  <c r="C827" l="1"/>
  <c r="C828" s="1"/>
  <c r="C829" s="1"/>
  <c r="C830" s="1"/>
  <c r="C831" l="1"/>
  <c r="C832" s="1"/>
  <c r="C833" s="1"/>
  <c r="C834" s="1"/>
  <c r="C835" s="1"/>
  <c r="C836" s="1"/>
  <c r="C837" l="1"/>
  <c r="C838" s="1"/>
  <c r="C839" l="1"/>
  <c r="C840" s="1"/>
  <c r="C841" s="1"/>
  <c r="C842" s="1"/>
  <c r="C843" s="1"/>
  <c r="C844" l="1"/>
  <c r="C845" s="1"/>
  <c r="C846" s="1"/>
  <c r="C847" s="1"/>
  <c r="C848" s="1"/>
  <c r="C849" s="1"/>
  <c r="C850" s="1"/>
  <c r="C851" s="1"/>
  <c r="C852" s="1"/>
  <c r="C853" s="1"/>
  <c r="C854" s="1"/>
  <c r="C855" s="1"/>
  <c r="C856" l="1"/>
  <c r="C857" s="1"/>
  <c r="C858" s="1"/>
  <c r="C859" s="1"/>
  <c r="C860" s="1"/>
  <c r="C861" s="1"/>
  <c r="C862" s="1"/>
  <c r="C863" l="1"/>
  <c r="C864" s="1"/>
  <c r="C865" s="1"/>
  <c r="C866" s="1"/>
  <c r="C867" l="1"/>
  <c r="C868" s="1"/>
  <c r="C869" l="1"/>
  <c r="C870" s="1"/>
  <c r="C871" s="1"/>
  <c r="C872" l="1"/>
  <c r="C873" s="1"/>
  <c r="C874" l="1"/>
  <c r="C875" s="1"/>
  <c r="C876" s="1"/>
  <c r="C877" s="1"/>
  <c r="C878" s="1"/>
  <c r="C879" s="1"/>
  <c r="C880" l="1"/>
  <c r="C881" s="1"/>
  <c r="C882" s="1"/>
  <c r="C883" s="1"/>
  <c r="C884" l="1"/>
  <c r="C885" s="1"/>
  <c r="C886" l="1"/>
  <c r="C887" s="1"/>
  <c r="C888" s="1"/>
  <c r="C889" s="1"/>
  <c r="C890" l="1"/>
  <c r="C891" s="1"/>
  <c r="C892" s="1"/>
  <c r="C893" s="1"/>
  <c r="C894" l="1"/>
  <c r="C895" s="1"/>
  <c r="C896" s="1"/>
  <c r="C897" s="1"/>
  <c r="C898" l="1"/>
  <c r="C899" s="1"/>
  <c r="C900" s="1"/>
  <c r="C901" s="1"/>
  <c r="C902" l="1"/>
  <c r="C903" s="1"/>
  <c r="C904" l="1"/>
  <c r="C905" s="1"/>
  <c r="C906" s="1"/>
  <c r="C907" s="1"/>
  <c r="C908" s="1"/>
  <c r="C909" l="1"/>
  <c r="C910" s="1"/>
  <c r="C911" s="1"/>
  <c r="C912" s="1"/>
  <c r="C913" l="1"/>
  <c r="C914" s="1"/>
  <c r="C915" l="1"/>
  <c r="C916" s="1"/>
  <c r="C917" s="1"/>
  <c r="C918" l="1"/>
  <c r="C919" s="1"/>
  <c r="C920" l="1"/>
  <c r="C921" s="1"/>
  <c r="C922" s="1"/>
  <c r="C923" s="1"/>
  <c r="C924" l="1"/>
  <c r="C925" s="1"/>
  <c r="C926" l="1"/>
  <c r="C927" l="1"/>
  <c r="C928" s="1"/>
  <c r="C929" l="1"/>
  <c r="C930" s="1"/>
  <c r="C931" s="1"/>
  <c r="C932" l="1"/>
  <c r="C933" s="1"/>
  <c r="C934" s="1"/>
  <c r="C935" s="1"/>
  <c r="C936" l="1"/>
  <c r="C937" s="1"/>
  <c r="C938" l="1"/>
  <c r="C939" s="1"/>
  <c r="C940" l="1"/>
  <c r="C941" s="1"/>
  <c r="C942" s="1"/>
  <c r="C943" s="1"/>
  <c r="C944" l="1"/>
  <c r="C945" s="1"/>
  <c r="C946" s="1"/>
  <c r="C947" s="1"/>
  <c r="C948" s="1"/>
  <c r="C949" s="1"/>
  <c r="C950" s="1"/>
  <c r="C951" s="1"/>
  <c r="C952" s="1"/>
  <c r="C953" l="1"/>
  <c r="C954" s="1"/>
  <c r="C955" s="1"/>
  <c r="C956" s="1"/>
  <c r="C957" l="1"/>
  <c r="C958" s="1"/>
  <c r="C959" s="1"/>
  <c r="C960" s="1"/>
  <c r="C961" s="1"/>
  <c r="C962" l="1"/>
  <c r="C963" s="1"/>
  <c r="C964" l="1"/>
  <c r="C965" s="1"/>
  <c r="C966" s="1"/>
  <c r="C967" s="1"/>
  <c r="C968" s="1"/>
  <c r="C969" s="1"/>
  <c r="C970" s="1"/>
  <c r="C971" s="1"/>
  <c r="C972" s="1"/>
  <c r="C973" s="1"/>
  <c r="C974" l="1"/>
  <c r="C975" s="1"/>
  <c r="C976" s="1"/>
  <c r="C977" s="1"/>
  <c r="C978" s="1"/>
  <c r="C979" s="1"/>
  <c r="C980" s="1"/>
  <c r="C981" s="1"/>
  <c r="C982" s="1"/>
  <c r="C983" s="1"/>
  <c r="C984" s="1"/>
  <c r="C985" s="1"/>
  <c r="C986" l="1"/>
  <c r="C987" s="1"/>
  <c r="C988" s="1"/>
  <c r="C989" s="1"/>
  <c r="C990" l="1"/>
  <c r="C991" s="1"/>
  <c r="C992" l="1"/>
  <c r="C993" s="1"/>
  <c r="C994" l="1"/>
  <c r="C995" s="1"/>
  <c r="C996" s="1"/>
  <c r="C997" l="1"/>
  <c r="C998" s="1"/>
  <c r="C999" l="1"/>
  <c r="C1000" s="1"/>
  <c r="C1001" l="1"/>
  <c r="C1002" s="1"/>
  <c r="C1003" l="1"/>
  <c r="C1004" s="1"/>
  <c r="C1005" l="1"/>
  <c r="C1006" s="1"/>
  <c r="C1007" s="1"/>
  <c r="C1008" s="1"/>
  <c r="C1009" l="1"/>
  <c r="C1010" s="1"/>
  <c r="C1011" l="1"/>
  <c r="C1012" s="1"/>
  <c r="C1013" s="1"/>
  <c r="C1014" s="1"/>
  <c r="C1015" s="1"/>
  <c r="C1016" s="1"/>
  <c r="C1017" s="1"/>
  <c r="C1018" l="1"/>
  <c r="C1019" s="1"/>
  <c r="C1020" l="1"/>
  <c r="C1021" s="1"/>
  <c r="C1022" l="1"/>
  <c r="C1023" s="1"/>
  <c r="C1024" l="1"/>
  <c r="C1025" s="1"/>
  <c r="C1026" s="1"/>
  <c r="C1027" s="1"/>
  <c r="C1028" s="1"/>
  <c r="C1029" s="1"/>
  <c r="C1030" s="1"/>
  <c r="C1031" l="1"/>
  <c r="C1032" s="1"/>
  <c r="C1033" s="1"/>
  <c r="C1034" s="1"/>
  <c r="C1035" s="1"/>
  <c r="C1036" s="1"/>
  <c r="C1037" s="1"/>
  <c r="C1038" s="1"/>
  <c r="C1039" s="1"/>
  <c r="C1040" s="1"/>
  <c r="C1041" s="1"/>
  <c r="C1042" s="1"/>
  <c r="C1043" s="1"/>
  <c r="C1044" s="1"/>
  <c r="C1045" s="1"/>
  <c r="C1046" l="1"/>
  <c r="C1047" s="1"/>
  <c r="C1048" s="1"/>
  <c r="C1049" l="1"/>
  <c r="C1050" s="1"/>
  <c r="C1051" s="1"/>
  <c r="C1052" l="1"/>
  <c r="C1053" s="1"/>
  <c r="C1054" s="1"/>
  <c r="C1055" s="1"/>
  <c r="C1056" l="1"/>
  <c r="C1057" s="1"/>
  <c r="C1058" l="1"/>
  <c r="C1059" s="1"/>
  <c r="C1060" l="1"/>
  <c r="C1061" s="1"/>
  <c r="C1062" l="1"/>
  <c r="C1063" s="1"/>
  <c r="C1064" s="1"/>
  <c r="C1065" s="1"/>
  <c r="C1066" l="1"/>
  <c r="C1067" s="1"/>
  <c r="C1068" l="1"/>
  <c r="C1069" s="1"/>
  <c r="C1070" s="1"/>
  <c r="C1071" l="1"/>
  <c r="C1072" s="1"/>
  <c r="C1073" l="1"/>
  <c r="C1074" s="1"/>
  <c r="C1075" s="1"/>
  <c r="C1076" l="1"/>
  <c r="C1077" s="1"/>
  <c r="C1078" s="1"/>
  <c r="C1079" l="1"/>
  <c r="C1080" s="1"/>
  <c r="C1081" s="1"/>
  <c r="C1082" s="1"/>
  <c r="C1083" s="1"/>
  <c r="C1084" l="1"/>
  <c r="C1085" s="1"/>
  <c r="C1086" l="1"/>
  <c r="C1087" s="1"/>
  <c r="C1088" l="1"/>
  <c r="C1089" s="1"/>
  <c r="C1090" l="1"/>
  <c r="C1091" s="1"/>
  <c r="C1092" s="1"/>
  <c r="C1093" s="1"/>
  <c r="C1094" s="1"/>
  <c r="C1095" s="1"/>
  <c r="C1096" l="1"/>
  <c r="C1097" s="1"/>
  <c r="C1098" s="1"/>
  <c r="C1099" l="1"/>
  <c r="C1100" s="1"/>
  <c r="C1101" s="1"/>
  <c r="C1102" l="1"/>
  <c r="C1103" s="1"/>
  <c r="C1104" l="1"/>
  <c r="C1105" s="1"/>
  <c r="C1106" l="1"/>
  <c r="C1107" s="1"/>
  <c r="C1108" s="1"/>
  <c r="C1109" s="1"/>
  <c r="C1110" l="1"/>
  <c r="C1111" s="1"/>
  <c r="C1112" s="1"/>
  <c r="C1113" s="1"/>
  <c r="C1114" s="1"/>
  <c r="C1115" l="1"/>
  <c r="C1116" s="1"/>
  <c r="C1117" l="1"/>
  <c r="C1118" s="1"/>
  <c r="C1119" l="1"/>
  <c r="C1120" s="1"/>
  <c r="C1121" s="1"/>
  <c r="C1122" s="1"/>
  <c r="C1123" l="1"/>
  <c r="C1124" s="1"/>
  <c r="C1125" s="1"/>
  <c r="C1126" s="1"/>
  <c r="C1127" s="1"/>
  <c r="C1128" s="1"/>
  <c r="C1129" s="1"/>
  <c r="C1130" l="1"/>
  <c r="C1131" s="1"/>
  <c r="C1132" s="1"/>
  <c r="C1133" s="1"/>
  <c r="C1134" s="1"/>
  <c r="C1135" s="1"/>
  <c r="C1136" s="1"/>
  <c r="C1137" l="1"/>
  <c r="C1138" s="1"/>
  <c r="C1139" l="1"/>
  <c r="C1140" s="1"/>
  <c r="C1141" l="1"/>
  <c r="C1142" s="1"/>
  <c r="C1143" l="1"/>
  <c r="C1144" s="1"/>
  <c r="C1145" l="1"/>
  <c r="C1146" s="1"/>
  <c r="C1147" l="1"/>
  <c r="C1148" s="1"/>
  <c r="C1149" s="1"/>
  <c r="C1150" s="1"/>
  <c r="C1151" s="1"/>
  <c r="C1152" s="1"/>
  <c r="C1153" s="1"/>
  <c r="C1154" l="1"/>
  <c r="C1155" s="1"/>
  <c r="C1156" s="1"/>
  <c r="C1157" s="1"/>
  <c r="C1158" s="1"/>
  <c r="C1159" s="1"/>
  <c r="C1160" s="1"/>
  <c r="C1161" l="1"/>
  <c r="C1162" s="1"/>
  <c r="C1163" l="1"/>
  <c r="C1164" s="1"/>
  <c r="C1165" s="1"/>
  <c r="C1166" s="1"/>
  <c r="C1167" s="1"/>
  <c r="C1168" s="1"/>
  <c r="C1169" s="1"/>
  <c r="C1170" s="1"/>
  <c r="C1171" s="1"/>
  <c r="C1172" s="1"/>
  <c r="C1173" s="1"/>
  <c r="C1174" l="1"/>
  <c r="C1175" s="1"/>
  <c r="C1176" s="1"/>
  <c r="C1177" s="1"/>
  <c r="C1178" s="1"/>
  <c r="C1179" l="1"/>
  <c r="C1180" s="1"/>
  <c r="C1181" l="1"/>
  <c r="C1182" s="1"/>
  <c r="C1183" l="1"/>
  <c r="C1184" s="1"/>
  <c r="C1185" s="1"/>
  <c r="C1186" s="1"/>
  <c r="C1187" l="1"/>
  <c r="C1188" s="1"/>
  <c r="C1189" l="1"/>
  <c r="C1190" s="1"/>
  <c r="C1191" l="1"/>
  <c r="C1192" s="1"/>
  <c r="C1193" l="1"/>
  <c r="C1194" s="1"/>
  <c r="C1195" l="1"/>
  <c r="C1196" s="1"/>
  <c r="C1197" s="1"/>
  <c r="C1198" l="1"/>
  <c r="C1199" s="1"/>
  <c r="C1200" s="1"/>
  <c r="C1201" s="1"/>
  <c r="C1202" s="1"/>
  <c r="C1203" l="1"/>
  <c r="C1204" s="1"/>
  <c r="C1205" l="1"/>
  <c r="C1206" s="1"/>
  <c r="C1207" s="1"/>
  <c r="C1208" l="1"/>
  <c r="C1209" s="1"/>
  <c r="C1210" l="1"/>
  <c r="C1211" s="1"/>
  <c r="C1212" s="1"/>
  <c r="C1213" s="1"/>
  <c r="C1214" s="1"/>
  <c r="C1215" s="1"/>
  <c r="C1216" l="1"/>
  <c r="C1217" s="1"/>
  <c r="C1218" l="1"/>
  <c r="C1219" s="1"/>
  <c r="C1220" l="1"/>
  <c r="C1221" s="1"/>
  <c r="C1222" l="1"/>
  <c r="C1223" s="1"/>
  <c r="C1224" l="1"/>
  <c r="C1225" s="1"/>
  <c r="C1226" s="1"/>
  <c r="C1227" l="1"/>
  <c r="C1228" s="1"/>
  <c r="C1229" l="1"/>
  <c r="C1230" s="1"/>
  <c r="C1231" s="1"/>
  <c r="C1232" s="1"/>
  <c r="C1233" l="1"/>
  <c r="C1234" s="1"/>
  <c r="C1235" s="1"/>
  <c r="C1236" l="1"/>
  <c r="C1237" s="1"/>
  <c r="C1238" l="1"/>
  <c r="C1239" s="1"/>
  <c r="C1240" l="1"/>
  <c r="C1241" s="1"/>
  <c r="C1243" l="1"/>
  <c r="C1244" s="1"/>
  <c r="C1242"/>
  <c r="C1245" l="1"/>
  <c r="C1246" s="1"/>
  <c r="C1247" l="1"/>
  <c r="C1248" s="1"/>
  <c r="C1249" l="1"/>
  <c r="C1250" s="1"/>
  <c r="C1252" l="1"/>
  <c r="C1253" s="1"/>
  <c r="C1251"/>
  <c r="C1255" l="1"/>
  <c r="C1254"/>
  <c r="C1256" l="1"/>
  <c r="C1257" s="1"/>
  <c r="C1258" l="1"/>
  <c r="C1259" s="1"/>
  <c r="C1260" l="1"/>
  <c r="C1261" s="1"/>
  <c r="C1262" s="1"/>
  <c r="C1263" l="1"/>
  <c r="C1264" s="1"/>
  <c r="C1265" l="1"/>
  <c r="C1266" s="1"/>
  <c r="C1267" s="1"/>
  <c r="C1268" s="1"/>
  <c r="C1269" s="1"/>
  <c r="C1270" s="1"/>
  <c r="C1271" s="1"/>
  <c r="C1272" s="1"/>
  <c r="C1273" s="1"/>
  <c r="C1274" s="1"/>
  <c r="C1275" s="1"/>
  <c r="C1276" s="1"/>
  <c r="C1277" s="1"/>
  <c r="C1278" s="1"/>
  <c r="C1279" s="1"/>
  <c r="C1280" s="1"/>
  <c r="C1281" s="1"/>
  <c r="C1282" s="1"/>
  <c r="C1283" s="1"/>
  <c r="C1284" s="1"/>
  <c r="C1285" s="1"/>
  <c r="C1286" s="1"/>
  <c r="C1287" s="1"/>
  <c r="C1288" s="1"/>
  <c r="C1289" s="1"/>
  <c r="C1290" s="1"/>
  <c r="C1291" l="1"/>
  <c r="C1292" s="1"/>
  <c r="C1293" s="1"/>
  <c r="C1294" s="1"/>
  <c r="C1295" s="1"/>
  <c r="C1296" l="1"/>
  <c r="C1297" s="1"/>
  <c r="C1298" s="1"/>
  <c r="C1299" l="1"/>
  <c r="C1300" s="1"/>
  <c r="C1301" l="1"/>
  <c r="C1302" s="1"/>
  <c r="C1303" s="1"/>
  <c r="C1304" s="1"/>
  <c r="C1305" l="1"/>
  <c r="C1306" s="1"/>
  <c r="C1307" l="1"/>
  <c r="C1308" s="1"/>
  <c r="C1309" s="1"/>
  <c r="C1310" s="1"/>
  <c r="C1311" s="1"/>
  <c r="C1312" l="1"/>
  <c r="C1313" s="1"/>
  <c r="C1314" l="1"/>
  <c r="C1315" s="1"/>
  <c r="C1316" l="1"/>
  <c r="C1317" s="1"/>
  <c r="C1318" s="1"/>
  <c r="C1319" s="1"/>
  <c r="C1320" l="1"/>
  <c r="C1321" s="1"/>
  <c r="C1322" s="1"/>
  <c r="C1323" s="1"/>
  <c r="C1324" s="1"/>
  <c r="C1325" s="1"/>
  <c r="C1326" s="1"/>
  <c r="C1327" s="1"/>
  <c r="C1328" s="1"/>
  <c r="C1329" s="1"/>
  <c r="C1330" s="1"/>
  <c r="C1331" s="1"/>
  <c r="C1332" l="1"/>
  <c r="C1333" s="1"/>
  <c r="C1334" l="1"/>
  <c r="C1335" s="1"/>
  <c r="C1336" s="1"/>
  <c r="C1337" s="1"/>
  <c r="C1338" s="1"/>
  <c r="C1339" l="1"/>
  <c r="C1340" s="1"/>
  <c r="C1341" s="1"/>
  <c r="C1342" l="1"/>
  <c r="C1343" s="1"/>
  <c r="C1344" l="1"/>
  <c r="C1345" s="1"/>
  <c r="C1346" s="1"/>
  <c r="C1347" s="1"/>
  <c r="C1348" s="1"/>
  <c r="C1349" s="1"/>
  <c r="C1350" s="1"/>
  <c r="C1351" l="1"/>
  <c r="C1352" s="1"/>
  <c r="C1353" s="1"/>
  <c r="C1354" l="1"/>
  <c r="C1355" s="1"/>
  <c r="C1356" s="1"/>
  <c r="C1357" s="1"/>
  <c r="C1358" s="1"/>
  <c r="C1359" l="1"/>
  <c r="C1360" s="1"/>
  <c r="C1361" l="1"/>
  <c r="C1362" s="1"/>
  <c r="C1363" s="1"/>
  <c r="C1364" s="1"/>
  <c r="C1365" s="1"/>
  <c r="C1366" s="1"/>
  <c r="C1367" s="1"/>
  <c r="C1368" s="1"/>
  <c r="C1369" s="1"/>
  <c r="C1370" s="1"/>
  <c r="C1371" s="1"/>
  <c r="C1372" s="1"/>
  <c r="C1373" s="1"/>
  <c r="C1374" s="1"/>
  <c r="C1375" s="1"/>
  <c r="C1376" l="1"/>
  <c r="C1377" s="1"/>
  <c r="C1378" s="1"/>
  <c r="C1379" l="1"/>
  <c r="C1380" s="1"/>
  <c r="C1381" s="1"/>
  <c r="C1382" s="1"/>
  <c r="C1383" s="1"/>
  <c r="C1384" s="1"/>
  <c r="C1385" s="1"/>
  <c r="C1386" l="1"/>
  <c r="C1387" s="1"/>
  <c r="C1388" s="1"/>
  <c r="C1389" s="1"/>
  <c r="C1390" l="1"/>
  <c r="C1391" s="1"/>
  <c r="C1392" s="1"/>
  <c r="C1393" l="1"/>
  <c r="C1394" s="1"/>
  <c r="C1395" l="1"/>
  <c r="C1396" s="1"/>
  <c r="C1397" s="1"/>
  <c r="C1398" l="1"/>
  <c r="C1399" s="1"/>
  <c r="C1400" l="1"/>
  <c r="C1401" s="1"/>
  <c r="C1402" s="1"/>
  <c r="C1403" l="1"/>
  <c r="C1404" s="1"/>
  <c r="C1405" l="1"/>
  <c r="C1406" s="1"/>
  <c r="C1407" l="1"/>
  <c r="C1408" s="1"/>
  <c r="C1409" s="1"/>
  <c r="C1410" s="1"/>
  <c r="C1411" s="1"/>
  <c r="C1412" l="1"/>
  <c r="C1413" s="1"/>
  <c r="C1414" s="1"/>
  <c r="C1415" l="1"/>
  <c r="C1416" s="1"/>
  <c r="C1417" s="1"/>
  <c r="C1418" l="1"/>
  <c r="C1419" s="1"/>
  <c r="C1420" l="1"/>
  <c r="C1421" s="1"/>
  <c r="C1422" s="1"/>
  <c r="C1423" l="1"/>
  <c r="C1424" s="1"/>
  <c r="C1425" l="1"/>
  <c r="C1426" s="1"/>
  <c r="C1427" s="1"/>
  <c r="C1428" s="1"/>
  <c r="C1429" l="1"/>
  <c r="C1430" s="1"/>
  <c r="C1431" l="1"/>
  <c r="C1432" s="1"/>
  <c r="C1433" l="1"/>
  <c r="C1434" s="1"/>
  <c r="C1435" s="1"/>
  <c r="C1436" s="1"/>
  <c r="C1437" l="1"/>
  <c r="C1438" s="1"/>
  <c r="C1439" l="1"/>
  <c r="C1440" s="1"/>
  <c r="C1441" s="1"/>
  <c r="C1442" l="1"/>
  <c r="C1443" s="1"/>
  <c r="C1444" l="1"/>
  <c r="C1445" s="1"/>
  <c r="C1446" s="1"/>
  <c r="C1447" s="1"/>
  <c r="C1448" s="1"/>
  <c r="C1449" l="1"/>
  <c r="C1450" s="1"/>
  <c r="C1451" s="1"/>
  <c r="C1452" s="1"/>
  <c r="C1453" s="1"/>
  <c r="C1454" l="1"/>
  <c r="C1455" s="1"/>
  <c r="C1456" s="1"/>
  <c r="C1457" s="1"/>
  <c r="C1458" l="1"/>
  <c r="C1459" s="1"/>
  <c r="C1460" l="1"/>
  <c r="C1461" s="1"/>
  <c r="C1462" l="1"/>
  <c r="C1463" s="1"/>
  <c r="C1464" l="1"/>
  <c r="C1465" s="1"/>
  <c r="C1466" s="1"/>
  <c r="C1467" l="1"/>
  <c r="C1468" s="1"/>
  <c r="C1469" s="1"/>
  <c r="C1470" s="1"/>
  <c r="C1471" s="1"/>
  <c r="C1472" s="1"/>
  <c r="C1473" s="1"/>
  <c r="C1474" s="1"/>
  <c r="C1475" s="1"/>
  <c r="C1476" s="1"/>
  <c r="C1477" l="1"/>
  <c r="C1478" s="1"/>
  <c r="C1479" l="1"/>
  <c r="C1480" s="1"/>
  <c r="C1481" s="1"/>
  <c r="C1482" l="1"/>
  <c r="C1483" s="1"/>
  <c r="C1485" l="1"/>
  <c r="C1484"/>
  <c r="C1486" l="1"/>
  <c r="C1487" s="1"/>
  <c r="C1488" s="1"/>
  <c r="C1489" s="1"/>
  <c r="C1490" l="1"/>
  <c r="C1491" s="1"/>
  <c r="C1492" s="1"/>
  <c r="C1493" s="1"/>
  <c r="C1494" l="1"/>
  <c r="C1495" s="1"/>
  <c r="C1496" l="1"/>
  <c r="C1497" s="1"/>
  <c r="C1498" s="1"/>
  <c r="C1499" l="1"/>
  <c r="C1500" s="1"/>
  <c r="C1501" s="1"/>
  <c r="C1502" l="1"/>
  <c r="C1503" s="1"/>
  <c r="C1504" s="1"/>
  <c r="C1505" l="1"/>
  <c r="C1506" s="1"/>
  <c r="C1507" s="1"/>
  <c r="C1508" s="1"/>
  <c r="C1509" s="1"/>
  <c r="C1510" l="1"/>
  <c r="C1511" s="1"/>
  <c r="C1512" l="1"/>
  <c r="C1513" s="1"/>
  <c r="C1514" l="1"/>
  <c r="C1515" s="1"/>
  <c r="C1516" l="1"/>
  <c r="C1517" s="1"/>
  <c r="C1518" s="1"/>
  <c r="C1519" s="1"/>
  <c r="C1520" s="1"/>
  <c r="C1521" l="1"/>
  <c r="C1522" s="1"/>
  <c r="C1523" l="1"/>
  <c r="C1524" s="1"/>
  <c r="C1525" l="1"/>
  <c r="C1526" s="1"/>
  <c r="C1527" s="1"/>
  <c r="C1528" s="1"/>
  <c r="C1529" l="1"/>
  <c r="C1530" s="1"/>
  <c r="C1531" l="1"/>
  <c r="C1532" s="1"/>
  <c r="C1533" s="1"/>
  <c r="C1534" s="1"/>
  <c r="C1535" l="1"/>
  <c r="C1536" s="1"/>
  <c r="C1537" s="1"/>
  <c r="C1538" l="1"/>
  <c r="C1539" s="1"/>
  <c r="C1540" s="1"/>
  <c r="C1541" s="1"/>
  <c r="C1542" s="1"/>
  <c r="C1543" l="1"/>
  <c r="C1544" s="1"/>
  <c r="C1545" l="1"/>
  <c r="C1546" s="1"/>
  <c r="C1547" s="1"/>
  <c r="C1548" l="1"/>
  <c r="C1549" s="1"/>
  <c r="C1550" l="1"/>
  <c r="C1551" s="1"/>
  <c r="C1552" s="1"/>
  <c r="C1553" l="1"/>
  <c r="C1554" s="1"/>
  <c r="C1555" s="1"/>
  <c r="C1556" s="1"/>
  <c r="C1557" l="1"/>
  <c r="C1558" s="1"/>
  <c r="C1559" s="1"/>
  <c r="C1560" s="1"/>
  <c r="C1561" l="1"/>
  <c r="C1562" s="1"/>
  <c r="C1563" s="1"/>
  <c r="C1565" l="1"/>
  <c r="C1564"/>
  <c r="C1567" l="1"/>
  <c r="C1568" s="1"/>
  <c r="C1566"/>
  <c r="C1569" l="1"/>
  <c r="C1570" s="1"/>
  <c r="C1571" l="1"/>
  <c r="C1572" s="1"/>
  <c r="C1573" l="1"/>
  <c r="C1574" s="1"/>
  <c r="C1575" s="1"/>
  <c r="C1576" s="1"/>
  <c r="C1577" s="1"/>
  <c r="C1578" s="1"/>
  <c r="C1579" s="1"/>
  <c r="C1580" s="1"/>
  <c r="C1581" l="1"/>
  <c r="C1582" s="1"/>
  <c r="C1583" l="1"/>
  <c r="C1584" s="1"/>
  <c r="C1585" s="1"/>
  <c r="C1586" s="1"/>
  <c r="C1587" l="1"/>
  <c r="C1588" s="1"/>
  <c r="C1589" s="1"/>
  <c r="C1590" s="1"/>
  <c r="C1591" s="1"/>
  <c r="C1593" l="1"/>
  <c r="C1594" s="1"/>
  <c r="C1595" s="1"/>
  <c r="C1596" s="1"/>
  <c r="C1597" s="1"/>
  <c r="C1598" s="1"/>
  <c r="C1599" s="1"/>
  <c r="C1600" s="1"/>
  <c r="C1601" s="1"/>
  <c r="C1602" s="1"/>
  <c r="C1603" s="1"/>
  <c r="C1592"/>
  <c r="C1604" l="1"/>
  <c r="C1605" s="1"/>
  <c r="C1606" s="1"/>
  <c r="C1607" s="1"/>
  <c r="C1609" l="1"/>
  <c r="C1610" s="1"/>
  <c r="C1608"/>
  <c r="C1611" l="1"/>
  <c r="C1612" s="1"/>
  <c r="C1613" s="1"/>
  <c r="C1614" s="1"/>
  <c r="C1616" l="1"/>
  <c r="C1615"/>
  <c r="C1617" l="1"/>
  <c r="C1618" s="1"/>
  <c r="C1619" s="1"/>
  <c r="C1621" l="1"/>
  <c r="C1622" s="1"/>
  <c r="C1620"/>
  <c r="C1624" l="1"/>
  <c r="C1623"/>
  <c r="C1626" l="1"/>
  <c r="C1627" s="1"/>
  <c r="C1625"/>
  <c r="C1629" l="1"/>
  <c r="C1628"/>
  <c r="C1630" l="1"/>
  <c r="C1631" s="1"/>
  <c r="C1633" l="1"/>
  <c r="C1634" s="1"/>
  <c r="C1635" s="1"/>
  <c r="C1636" s="1"/>
  <c r="C1637" s="1"/>
  <c r="C1638" s="1"/>
  <c r="C1639" s="1"/>
  <c r="C1640" s="1"/>
  <c r="C1641" s="1"/>
  <c r="C1642" s="1"/>
  <c r="C1643" s="1"/>
  <c r="C1632"/>
  <c r="C1644" l="1"/>
  <c r="C1645" s="1"/>
  <c r="C1647" l="1"/>
  <c r="C1648" s="1"/>
  <c r="C1646"/>
  <c r="C1650" l="1"/>
  <c r="C1651" s="1"/>
  <c r="C1649"/>
  <c r="C1653" l="1"/>
  <c r="C1652"/>
  <c r="C1655" l="1"/>
  <c r="C1656" s="1"/>
  <c r="C1654"/>
  <c r="C1657" l="1"/>
  <c r="C1658" s="1"/>
  <c r="C1659" s="1"/>
  <c r="C1660" s="1"/>
  <c r="C1661" s="1"/>
  <c r="C1662" s="1"/>
  <c r="C1663" s="1"/>
  <c r="C1664" s="1"/>
  <c r="C1665" s="1"/>
  <c r="C1666" s="1"/>
  <c r="C1667" s="1"/>
  <c r="C1668" s="1"/>
  <c r="C1669" s="1"/>
  <c r="C1670" l="1"/>
  <c r="C1671" s="1"/>
  <c r="C1672" l="1"/>
  <c r="C1673" s="1"/>
  <c r="C1674" l="1"/>
  <c r="C1675" s="1"/>
  <c r="C1676" s="1"/>
  <c r="C1677" l="1"/>
  <c r="C1678" s="1"/>
  <c r="C1679" s="1"/>
  <c r="C1680" s="1"/>
  <c r="C1681" s="1"/>
  <c r="C1682" s="1"/>
  <c r="C1683" s="1"/>
  <c r="C1684" l="1"/>
  <c r="C1685" s="1"/>
  <c r="C1686" l="1"/>
  <c r="C1687" s="1"/>
  <c r="C1688" s="1"/>
  <c r="C1689" l="1"/>
  <c r="C1690" s="1"/>
  <c r="C1691" s="1"/>
  <c r="C1692" l="1"/>
  <c r="C1693" s="1"/>
  <c r="C1694" l="1"/>
  <c r="C1695" s="1"/>
  <c r="C1696" l="1"/>
  <c r="C1697" s="1"/>
  <c r="C1699" l="1"/>
  <c r="C1698"/>
  <c r="C1701" l="1"/>
  <c r="C1700"/>
  <c r="C1703" l="1"/>
  <c r="C1704" s="1"/>
  <c r="C1705" s="1"/>
  <c r="C1702"/>
  <c r="C1707" l="1"/>
  <c r="C1708" s="1"/>
  <c r="C1709" s="1"/>
  <c r="C1706"/>
  <c r="C1710" l="1"/>
  <c r="C1711" s="1"/>
  <c r="C1712" l="1"/>
  <c r="C1713" s="1"/>
  <c r="C1714" s="1"/>
  <c r="C1715" l="1"/>
  <c r="C1716" s="1"/>
  <c r="C1717" s="1"/>
  <c r="C1718" s="1"/>
  <c r="C1719" s="1"/>
  <c r="C1720" s="1"/>
  <c r="C1721" s="1"/>
  <c r="C1722" s="1"/>
  <c r="C1723" s="1"/>
  <c r="C1724" s="1"/>
  <c r="C1725" s="1"/>
  <c r="C1726" s="1"/>
  <c r="C1727" s="1"/>
  <c r="C1728" s="1"/>
  <c r="C1729" s="1"/>
  <c r="C1730" s="1"/>
  <c r="C1731" s="1"/>
  <c r="C1732" s="1"/>
  <c r="C1733" s="1"/>
  <c r="C1734" s="1"/>
  <c r="C1735" s="1"/>
  <c r="C1736" s="1"/>
  <c r="C1737" s="1"/>
  <c r="C1738" s="1"/>
  <c r="C1739" l="1"/>
  <c r="C1740" s="1"/>
  <c r="C1741" l="1"/>
  <c r="C1742" s="1"/>
  <c r="C1743" s="1"/>
  <c r="C1744" s="1"/>
  <c r="C1745" l="1"/>
  <c r="C1746" s="1"/>
  <c r="C1747" l="1"/>
  <c r="C1748" s="1"/>
  <c r="C1749" l="1"/>
  <c r="C1750" s="1"/>
  <c r="C1751" l="1"/>
  <c r="C1752" s="1"/>
  <c r="C1753" s="1"/>
  <c r="C1754" l="1"/>
  <c r="C1755" s="1"/>
  <c r="C1756" l="1"/>
  <c r="C1757" s="1"/>
  <c r="C1758" s="1"/>
  <c r="C1759" s="1"/>
  <c r="C1760" s="1"/>
  <c r="C1761" s="1"/>
  <c r="C1762" l="1"/>
  <c r="C1763" s="1"/>
  <c r="C1764" l="1"/>
  <c r="C1765" s="1"/>
  <c r="C1767" l="1"/>
  <c r="C1768" s="1"/>
  <c r="C1766"/>
  <c r="C1769" l="1"/>
  <c r="C1770" s="1"/>
  <c r="C1771" l="1"/>
  <c r="C1772" s="1"/>
  <c r="C1773" s="1"/>
  <c r="C1774" s="1"/>
  <c r="C1776" l="1"/>
  <c r="C1775"/>
  <c r="C1777" l="1"/>
  <c r="C1778" s="1"/>
  <c r="C1779" l="1"/>
  <c r="C1780" s="1"/>
  <c r="C1781" l="1"/>
  <c r="C1782" s="1"/>
  <c r="C1783" s="1"/>
  <c r="C1785" l="1"/>
  <c r="C1784"/>
  <c r="C1786" l="1"/>
  <c r="C1787" s="1"/>
  <c r="C1788" s="1"/>
  <c r="C1789" s="1"/>
  <c r="C1790" l="1"/>
  <c r="C1791" s="1"/>
  <c r="C1792" s="1"/>
  <c r="C1793" l="1"/>
  <c r="C1794" s="1"/>
  <c r="C1795" s="1"/>
  <c r="C1796" s="1"/>
  <c r="C1797" l="1"/>
  <c r="C1798" s="1"/>
  <c r="C1799" l="1"/>
  <c r="C1800" s="1"/>
  <c r="C1801" l="1"/>
  <c r="C1802" s="1"/>
  <c r="C1803" l="1"/>
  <c r="C1804" s="1"/>
  <c r="C1805" s="1"/>
  <c r="C1806" l="1"/>
  <c r="C1807" s="1"/>
  <c r="C1808" s="1"/>
  <c r="C1809" l="1"/>
  <c r="C1810" s="1"/>
  <c r="C1811" l="1"/>
  <c r="C1812" s="1"/>
  <c r="C1813" s="1"/>
  <c r="C1814" s="1"/>
  <c r="C1815" s="1"/>
  <c r="C1816" s="1"/>
  <c r="C1817" l="1"/>
  <c r="C1818" s="1"/>
  <c r="C1819" s="1"/>
  <c r="C1820" s="1"/>
  <c r="C1822" l="1"/>
  <c r="C1823" s="1"/>
  <c r="C1824" s="1"/>
  <c r="C1821"/>
  <c r="C1825" l="1"/>
  <c r="C1826" s="1"/>
  <c r="C1828" l="1"/>
  <c r="C1827"/>
  <c r="C1829" l="1"/>
  <c r="C1830" s="1"/>
  <c r="C1831" s="1"/>
  <c r="C1832" s="1"/>
  <c r="C1834" l="1"/>
  <c r="C1835" s="1"/>
  <c r="C1836" s="1"/>
  <c r="C1837" s="1"/>
  <c r="C1838" s="1"/>
  <c r="C1839" s="1"/>
  <c r="C1840" s="1"/>
  <c r="C1841" s="1"/>
  <c r="C1842" s="1"/>
  <c r="C1843" s="1"/>
  <c r="C1844" s="1"/>
  <c r="C1845" s="1"/>
  <c r="C1846" s="1"/>
  <c r="C1847" s="1"/>
  <c r="C1848" s="1"/>
  <c r="C1849" s="1"/>
  <c r="C1850" s="1"/>
  <c r="C1851" s="1"/>
  <c r="C1852" s="1"/>
  <c r="C1853" s="1"/>
  <c r="C1854" s="1"/>
  <c r="C1855" s="1"/>
  <c r="C1856" s="1"/>
  <c r="C1833"/>
  <c r="C1857" l="1"/>
  <c r="C1858" s="1"/>
  <c r="C1859" s="1"/>
  <c r="C1860" l="1"/>
  <c r="C1861" s="1"/>
  <c r="C1862" l="1"/>
  <c r="C1863" s="1"/>
  <c r="C1864" s="1"/>
  <c r="C1865" l="1"/>
  <c r="C1866" s="1"/>
  <c r="C1867" l="1"/>
  <c r="C1868" s="1"/>
  <c r="C1869" s="1"/>
  <c r="C1870" l="1"/>
  <c r="C1871" s="1"/>
  <c r="C1872" l="1"/>
  <c r="C1873" s="1"/>
  <c r="C1874" s="1"/>
  <c r="C1875" s="1"/>
  <c r="C1876" l="1"/>
  <c r="C1877" s="1"/>
  <c r="C1878" s="1"/>
  <c r="C1879" l="1"/>
  <c r="C1880" s="1"/>
  <c r="C1881" l="1"/>
  <c r="C1882" s="1"/>
  <c r="C1883" l="1"/>
  <c r="C1884" s="1"/>
  <c r="C1885" s="1"/>
  <c r="C1886" l="1"/>
  <c r="C1887" s="1"/>
  <c r="C1888" l="1"/>
  <c r="C1889" s="1"/>
  <c r="C1890" s="1"/>
  <c r="C1891" s="1"/>
  <c r="C1892" l="1"/>
  <c r="C1893" s="1"/>
  <c r="C1894" s="1"/>
  <c r="C1895" l="1"/>
  <c r="C1896" s="1"/>
  <c r="C1897" l="1"/>
  <c r="C1898" s="1"/>
  <c r="C1899" s="1"/>
  <c r="C1900" l="1"/>
  <c r="C1901" s="1"/>
  <c r="C1902" l="1"/>
  <c r="C1903" s="1"/>
  <c r="C1904" l="1"/>
  <c r="C1905" s="1"/>
  <c r="C1906" s="1"/>
  <c r="C1907" s="1"/>
  <c r="C1908" l="1"/>
  <c r="C1909" s="1"/>
  <c r="C1910" l="1"/>
  <c r="C1911" s="1"/>
  <c r="C1912" s="1"/>
  <c r="C1913" s="1"/>
  <c r="C1915" l="1"/>
  <c r="C1914"/>
  <c r="C1916" l="1"/>
  <c r="C1917" s="1"/>
  <c r="C1919" l="1"/>
  <c r="C1920" s="1"/>
  <c r="C1918"/>
  <c r="C1921" l="1"/>
  <c r="C1922" s="1"/>
  <c r="C1923" l="1"/>
  <c r="C1924" s="1"/>
  <c r="C1925" s="1"/>
  <c r="C1926" s="1"/>
  <c r="C1928" l="1"/>
  <c r="C1927"/>
  <c r="C1929" l="1"/>
  <c r="C1930" s="1"/>
  <c r="C1931" s="1"/>
  <c r="C1932" l="1"/>
  <c r="C1933" s="1"/>
  <c r="C1934" l="1"/>
  <c r="C1935" s="1"/>
  <c r="C1937" l="1"/>
  <c r="C1938" s="1"/>
  <c r="C1939" s="1"/>
  <c r="C1936"/>
  <c r="C1940" l="1"/>
  <c r="C1941" s="1"/>
  <c r="C1942" s="1"/>
  <c r="C1943" s="1"/>
  <c r="C1944" s="1"/>
  <c r="C1945" s="1"/>
  <c r="C1946" s="1"/>
  <c r="C1947" s="1"/>
  <c r="C1948" s="1"/>
  <c r="C1949" s="1"/>
  <c r="C1950" s="1"/>
  <c r="C1951" s="1"/>
  <c r="C1952" l="1"/>
  <c r="C1953" s="1"/>
  <c r="C1955" l="1"/>
  <c r="C1956" s="1"/>
  <c r="C1954"/>
  <c r="C1957" l="1"/>
  <c r="C1958" s="1"/>
  <c r="C1959" s="1"/>
  <c r="C1960" s="1"/>
  <c r="C1961" l="1"/>
  <c r="C1962" s="1"/>
  <c r="C1963" s="1"/>
  <c r="C1964" s="1"/>
  <c r="C1965" s="1"/>
  <c r="C1966" s="1"/>
  <c r="C1967" s="1"/>
  <c r="C1968" s="1"/>
  <c r="C1969" s="1"/>
  <c r="C1970" s="1"/>
  <c r="C1971" l="1"/>
  <c r="C1972" s="1"/>
  <c r="C1973" l="1"/>
  <c r="C1974" s="1"/>
  <c r="C1975" l="1"/>
  <c r="C1976" s="1"/>
  <c r="C1977" l="1"/>
  <c r="C1978" s="1"/>
  <c r="C1979" l="1"/>
  <c r="C1980" s="1"/>
  <c r="C1981" l="1"/>
  <c r="C1982" s="1"/>
  <c r="C1983" l="1"/>
  <c r="C1984" s="1"/>
  <c r="C1985" s="1"/>
  <c r="C1986" s="1"/>
  <c r="C1987" s="1"/>
  <c r="C1988" l="1"/>
  <c r="C1989" s="1"/>
  <c r="C1990" l="1"/>
  <c r="C1991" s="1"/>
  <c r="C1992" s="1"/>
  <c r="C1993" s="1"/>
  <c r="C1994" l="1"/>
  <c r="C1995" s="1"/>
  <c r="C1996" l="1"/>
  <c r="C1997" s="1"/>
  <c r="C1998" l="1"/>
  <c r="C1999" s="1"/>
  <c r="C2000" s="1"/>
  <c r="C2001" s="1"/>
  <c r="C2002" s="1"/>
  <c r="C2003" s="1"/>
  <c r="C2004" l="1"/>
  <c r="C2005" s="1"/>
  <c r="C2006" l="1"/>
  <c r="C2007" s="1"/>
  <c r="C2008" s="1"/>
  <c r="C2009" l="1"/>
  <c r="C2010" s="1"/>
  <c r="C2011" l="1"/>
  <c r="C2012" s="1"/>
  <c r="C2013" l="1"/>
  <c r="C2014" s="1"/>
  <c r="C2015" s="1"/>
  <c r="C2016" s="1"/>
  <c r="C2017" s="1"/>
  <c r="C2018" s="1"/>
  <c r="C2019" s="1"/>
  <c r="C2020" s="1"/>
  <c r="C2021" s="1"/>
  <c r="C2022" s="1"/>
  <c r="C2023" l="1"/>
  <c r="C2024" s="1"/>
  <c r="C2025" l="1"/>
  <c r="C2026" s="1"/>
  <c r="C2027" s="1"/>
  <c r="C2028" s="1"/>
  <c r="C2029" l="1"/>
  <c r="C2030" s="1"/>
  <c r="C2031" s="1"/>
  <c r="C2032" s="1"/>
  <c r="C2033" l="1"/>
  <c r="C2034" s="1"/>
  <c r="C2035" l="1"/>
  <c r="C2036" s="1"/>
  <c r="C2037" l="1"/>
  <c r="C2038" s="1"/>
  <c r="C2039" s="1"/>
  <c r="C2040" l="1"/>
  <c r="C2041" s="1"/>
  <c r="C2042" l="1"/>
  <c r="C2043" s="1"/>
  <c r="C2044" s="1"/>
  <c r="C2045" s="1"/>
  <c r="C2046" l="1"/>
  <c r="C2047" s="1"/>
  <c r="C2048" l="1"/>
  <c r="C2049" s="1"/>
  <c r="C2050" s="1"/>
  <c r="C2051" s="1"/>
  <c r="C2052" s="1"/>
  <c r="C2053" s="1"/>
  <c r="C2054" s="1"/>
  <c r="C2055" s="1"/>
  <c r="C2056" s="1"/>
  <c r="C2057" s="1"/>
  <c r="C2058" s="1"/>
  <c r="C2059" s="1"/>
  <c r="C2060" s="1"/>
  <c r="C2061" s="1"/>
  <c r="C2062" s="1"/>
  <c r="C2063" s="1"/>
  <c r="C2064" s="1"/>
  <c r="C2065" s="1"/>
  <c r="C2066" l="1"/>
  <c r="C2067" s="1"/>
  <c r="C2068" l="1"/>
  <c r="C2069" s="1"/>
  <c r="C2070" l="1"/>
  <c r="C2071" s="1"/>
  <c r="C2072" l="1"/>
  <c r="C2073" s="1"/>
  <c r="C2074" l="1"/>
  <c r="C2075" s="1"/>
  <c r="C2076" s="1"/>
  <c r="C2077" s="1"/>
  <c r="C2078" s="1"/>
  <c r="C2079" l="1"/>
  <c r="C2080" s="1"/>
  <c r="C2081" s="1"/>
  <c r="C2082" s="1"/>
  <c r="C2083" s="1"/>
  <c r="C2084" s="1"/>
  <c r="C2085" l="1"/>
  <c r="C2086" l="1"/>
  <c r="C2087" s="1"/>
  <c r="C2088" s="1"/>
  <c r="C2089" s="1"/>
  <c r="C2090" s="1"/>
  <c r="C2091" s="1"/>
  <c r="C2092" s="1"/>
  <c r="C2093" s="1"/>
  <c r="C2094" s="1"/>
  <c r="C2095" l="1"/>
  <c r="C2096" l="1"/>
  <c r="C2097" s="1"/>
  <c r="C2098" l="1"/>
  <c r="C2099" s="1"/>
  <c r="C2100" l="1"/>
  <c r="C2101" s="1"/>
  <c r="C2102" l="1"/>
  <c r="C2103" s="1"/>
  <c r="C2104" l="1"/>
  <c r="C2105" s="1"/>
  <c r="C2106" s="1"/>
  <c r="C2107" l="1"/>
  <c r="C2108" s="1"/>
  <c r="C2109" s="1"/>
  <c r="C2110" s="1"/>
  <c r="C2111" s="1"/>
  <c r="C2112" l="1"/>
  <c r="C2113" s="1"/>
  <c r="C2114" l="1"/>
  <c r="C2115" s="1"/>
  <c r="C2116" s="1"/>
  <c r="C2117" l="1"/>
  <c r="C2118" s="1"/>
  <c r="C2119" s="1"/>
  <c r="C2120" s="1"/>
  <c r="C2121" l="1"/>
  <c r="C2122" s="1"/>
  <c r="C2123" l="1"/>
  <c r="C2124" s="1"/>
  <c r="C2125" l="1"/>
  <c r="C2126" s="1"/>
  <c r="C2127" l="1"/>
  <c r="C2128" s="1"/>
  <c r="C2129" s="1"/>
  <c r="C2130" s="1"/>
  <c r="C2131" s="1"/>
  <c r="C2132" s="1"/>
  <c r="C2133" s="1"/>
  <c r="C2134" l="1"/>
  <c r="C2135" s="1"/>
  <c r="C2136" l="1"/>
  <c r="C2137" s="1"/>
  <c r="C2138" s="1"/>
  <c r="C2139" l="1"/>
  <c r="C2140" s="1"/>
  <c r="C2141" s="1"/>
  <c r="C2142" l="1"/>
  <c r="C2143" s="1"/>
  <c r="C2144" l="1"/>
  <c r="C2145" s="1"/>
  <c r="C2146" s="1"/>
  <c r="C2147" s="1"/>
  <c r="C2148" l="1"/>
  <c r="C2149" s="1"/>
  <c r="C2150" s="1"/>
  <c r="C2151" s="1"/>
  <c r="C2152" s="1"/>
  <c r="C2153" s="1"/>
  <c r="C2154" s="1"/>
  <c r="C2155" s="1"/>
  <c r="C2156" s="1"/>
  <c r="C2157" s="1"/>
  <c r="C2158" s="1"/>
  <c r="C2159" l="1"/>
  <c r="C2160" s="1"/>
  <c r="C2161" l="1"/>
  <c r="C2162" l="1"/>
  <c r="C2163" s="1"/>
  <c r="C2164" s="1"/>
  <c r="C2165" l="1"/>
  <c r="C2166" s="1"/>
  <c r="C2167" s="1"/>
  <c r="C2168" l="1"/>
  <c r="C2169" s="1"/>
  <c r="C2170" l="1"/>
  <c r="C2171" s="1"/>
  <c r="C2172" l="1"/>
  <c r="C2173" s="1"/>
  <c r="C2174" l="1"/>
  <c r="C2175" s="1"/>
  <c r="C2176" l="1"/>
  <c r="C2177" s="1"/>
  <c r="C2178" s="1"/>
  <c r="C2179" l="1"/>
  <c r="C2180" s="1"/>
  <c r="C2181" l="1"/>
  <c r="C2182" s="1"/>
  <c r="C2183" l="1"/>
  <c r="C2184" s="1"/>
  <c r="C2185" l="1"/>
  <c r="C2186" s="1"/>
  <c r="C2187" s="1"/>
  <c r="C2188" s="1"/>
  <c r="C2189" l="1"/>
  <c r="C2190" s="1"/>
  <c r="C2191" l="1"/>
  <c r="C2192" s="1"/>
  <c r="C2193" s="1"/>
  <c r="C2194" l="1"/>
  <c r="C2195" s="1"/>
  <c r="C2196" s="1"/>
  <c r="C2197" s="1"/>
  <c r="C2198" l="1"/>
  <c r="C2199" s="1"/>
  <c r="C2200" l="1"/>
  <c r="C2201" s="1"/>
  <c r="C2202" s="1"/>
  <c r="C2203" s="1"/>
  <c r="C2204" s="1"/>
  <c r="C2205" s="1"/>
  <c r="C2206" l="1"/>
  <c r="C2207" s="1"/>
  <c r="C2208" l="1"/>
  <c r="C2209" s="1"/>
  <c r="C2210" s="1"/>
  <c r="C2211" l="1"/>
  <c r="C2212" s="1"/>
  <c r="C2213" l="1"/>
  <c r="C2214" s="1"/>
  <c r="C2215" s="1"/>
  <c r="C2216" s="1"/>
  <c r="C2217" s="1"/>
  <c r="C2218" s="1"/>
  <c r="C2219" s="1"/>
  <c r="C2220" s="1"/>
  <c r="C2221" l="1"/>
  <c r="C2222" s="1"/>
  <c r="C2223" s="1"/>
  <c r="C2224" s="1"/>
  <c r="C2225" l="1"/>
  <c r="C2226" s="1"/>
  <c r="C2227" s="1"/>
  <c r="C2228" l="1"/>
  <c r="C2229" s="1"/>
  <c r="C2230" l="1"/>
  <c r="C2231" s="1"/>
  <c r="C2232" s="1"/>
  <c r="C2233" s="1"/>
  <c r="C2234" l="1"/>
  <c r="C2235" s="1"/>
  <c r="C2236" s="1"/>
  <c r="C2237" s="1"/>
  <c r="C2238" l="1"/>
  <c r="C2239" s="1"/>
  <c r="C2240" l="1"/>
  <c r="C2241" s="1"/>
  <c r="C2242" l="1"/>
  <c r="C2243" s="1"/>
  <c r="C2244" l="1"/>
  <c r="C2245" s="1"/>
  <c r="C2246" l="1"/>
  <c r="C2247" s="1"/>
  <c r="C2248" s="1"/>
  <c r="C2249" l="1"/>
  <c r="C2250" s="1"/>
  <c r="C2251" s="1"/>
  <c r="C2252" s="1"/>
  <c r="C2253" s="1"/>
  <c r="C2254" s="1"/>
  <c r="C2255" s="1"/>
  <c r="C2256" l="1"/>
  <c r="C2257" s="1"/>
  <c r="C2258" s="1"/>
  <c r="C2259" s="1"/>
  <c r="C2260" l="1"/>
  <c r="C2261" s="1"/>
  <c r="C2262" l="1"/>
  <c r="C2263" s="1"/>
  <c r="C2264" s="1"/>
  <c r="C2265" s="1"/>
  <c r="C2266" l="1"/>
  <c r="C2267" s="1"/>
  <c r="C2268" s="1"/>
  <c r="C2269" s="1"/>
  <c r="C2270" s="1"/>
  <c r="C2271" s="1"/>
  <c r="C2272" s="1"/>
  <c r="C2273" s="1"/>
  <c r="C2274" s="1"/>
  <c r="C2275" s="1"/>
  <c r="C2276" s="1"/>
  <c r="C2277" l="1"/>
  <c r="C2278" s="1"/>
  <c r="C2279" l="1"/>
  <c r="C2280" s="1"/>
  <c r="C2281" l="1"/>
  <c r="C2282" s="1"/>
  <c r="C2283" l="1"/>
  <c r="C2284" s="1"/>
  <c r="C2285" s="1"/>
  <c r="C2286" s="1"/>
  <c r="C2287" s="1"/>
  <c r="C2288" s="1"/>
  <c r="C2289" l="1"/>
  <c r="C2290" s="1"/>
  <c r="C2291" s="1"/>
  <c r="C2292" s="1"/>
  <c r="C2293" l="1"/>
  <c r="C2294" s="1"/>
  <c r="C2295" s="1"/>
  <c r="C2296" l="1"/>
  <c r="C2297" s="1"/>
  <c r="C2298" s="1"/>
  <c r="C2299" l="1"/>
  <c r="C2300" s="1"/>
  <c r="C2301" l="1"/>
  <c r="C2302" s="1"/>
  <c r="C2303" s="1"/>
  <c r="C2304" s="1"/>
  <c r="C2305" l="1"/>
  <c r="C2306" s="1"/>
  <c r="C2307" l="1"/>
  <c r="C2308" s="1"/>
  <c r="C2309" l="1"/>
  <c r="C2310" s="1"/>
  <c r="C2311" s="1"/>
  <c r="C2312" l="1"/>
  <c r="C2313" s="1"/>
  <c r="C2314" s="1"/>
  <c r="C2315" s="1"/>
  <c r="C2316" s="1"/>
  <c r="C2317" s="1"/>
  <c r="C2318" l="1"/>
  <c r="C2319" s="1"/>
  <c r="C2320" l="1"/>
  <c r="C2321" s="1"/>
  <c r="C2322" l="1"/>
  <c r="C2323" s="1"/>
  <c r="C2324" s="1"/>
  <c r="C2325" s="1"/>
  <c r="C2327" l="1"/>
  <c r="C2326"/>
  <c r="C2329" l="1"/>
  <c r="C2330" s="1"/>
  <c r="C2331" s="1"/>
  <c r="C2328"/>
  <c r="C2332" l="1"/>
  <c r="C2333" s="1"/>
  <c r="C2334" l="1"/>
  <c r="C2335" s="1"/>
  <c r="C2336" l="1"/>
  <c r="C2337" s="1"/>
  <c r="C2338" l="1"/>
  <c r="C2339" s="1"/>
  <c r="C2340" l="1"/>
  <c r="C2341" s="1"/>
  <c r="C2342" s="1"/>
  <c r="C2343" s="1"/>
  <c r="C2344" s="1"/>
  <c r="C2345" s="1"/>
  <c r="C2346" s="1"/>
  <c r="C2347" s="1"/>
  <c r="C2348" s="1"/>
  <c r="C2349" s="1"/>
  <c r="C2350" l="1"/>
  <c r="C2351" s="1"/>
  <c r="C2352" l="1"/>
  <c r="C2353" s="1"/>
  <c r="C2354" s="1"/>
  <c r="C2355" l="1"/>
  <c r="C2356" s="1"/>
  <c r="C2357" s="1"/>
  <c r="C2358" l="1"/>
  <c r="C2359" s="1"/>
  <c r="C2360" l="1"/>
  <c r="C2361" s="1"/>
  <c r="C2362" l="1"/>
  <c r="C2363" s="1"/>
  <c r="C2364" s="1"/>
  <c r="C2365" l="1"/>
  <c r="C2366" s="1"/>
  <c r="C2367" l="1"/>
  <c r="C2368" s="1"/>
  <c r="C2369" s="1"/>
  <c r="C2370" s="1"/>
  <c r="C2371" s="1"/>
  <c r="C2372" s="1"/>
  <c r="C2373" l="1"/>
  <c r="C2374" s="1"/>
  <c r="C2375" l="1"/>
  <c r="C2376" s="1"/>
  <c r="C2377" l="1"/>
  <c r="C2378" s="1"/>
  <c r="C2379" l="1"/>
  <c r="C2380" s="1"/>
  <c r="C2381" s="1"/>
  <c r="C2382" s="1"/>
  <c r="C2383" l="1"/>
  <c r="C2384" s="1"/>
  <c r="C2385" s="1"/>
  <c r="C2386" s="1"/>
  <c r="C2387" l="1"/>
  <c r="C2388" s="1"/>
  <c r="C2389" s="1"/>
  <c r="C2390" l="1"/>
  <c r="C2391" s="1"/>
  <c r="C2392" s="1"/>
  <c r="C2393" l="1"/>
  <c r="C2394" s="1"/>
  <c r="C2395" s="1"/>
  <c r="C2396" s="1"/>
  <c r="C2397" s="1"/>
  <c r="C2398" s="1"/>
  <c r="C2399" l="1"/>
  <c r="C2400" s="1"/>
  <c r="C2401" l="1"/>
  <c r="C2402" s="1"/>
  <c r="C2403" s="1"/>
  <c r="C2404" s="1"/>
  <c r="C2405" s="1"/>
  <c r="C2406" s="1"/>
  <c r="C2407" s="1"/>
  <c r="C2408" s="1"/>
  <c r="C2409" s="1"/>
  <c r="C2410" s="1"/>
  <c r="C2411" s="1"/>
  <c r="C2412" s="1"/>
  <c r="C2413" s="1"/>
  <c r="C2414" s="1"/>
  <c r="C2415" s="1"/>
  <c r="C2416" l="1"/>
  <c r="C2417" s="1"/>
  <c r="C2418" l="1"/>
  <c r="C2419" s="1"/>
  <c r="C2420" l="1"/>
  <c r="C2421" s="1"/>
  <c r="C2422" l="1"/>
  <c r="C2423" s="1"/>
  <c r="C2424" l="1"/>
  <c r="C2425" s="1"/>
  <c r="C2426" s="1"/>
  <c r="C2427" l="1"/>
  <c r="C2428" s="1"/>
  <c r="C2429" l="1"/>
  <c r="C2430" s="1"/>
  <c r="C2431" l="1"/>
  <c r="C2432" s="1"/>
  <c r="C2433" s="1"/>
  <c r="C2434" l="1"/>
  <c r="C2435" s="1"/>
  <c r="C2436" l="1"/>
  <c r="C2437" s="1"/>
  <c r="C2438" l="1"/>
  <c r="C2439" s="1"/>
  <c r="C2440" l="1"/>
  <c r="C2441" s="1"/>
  <c r="C2442" s="1"/>
  <c r="C2443" s="1"/>
  <c r="C2444" l="1"/>
  <c r="C2445" s="1"/>
  <c r="C2446" l="1"/>
  <c r="C2447" s="1"/>
  <c r="C2448" s="1"/>
  <c r="C2449" l="1"/>
  <c r="C2450" s="1"/>
  <c r="C2451" l="1"/>
  <c r="C2452" s="1"/>
  <c r="C2453" l="1"/>
  <c r="C2454" s="1"/>
  <c r="C2455" l="1"/>
  <c r="C2456" s="1"/>
  <c r="C2457" s="1"/>
  <c r="C2458" l="1"/>
  <c r="C2459" s="1"/>
  <c r="C2460" l="1"/>
  <c r="C2461" s="1"/>
  <c r="C2462" l="1"/>
  <c r="C2463" s="1"/>
  <c r="C2464" l="1"/>
  <c r="C2465" l="1"/>
  <c r="C2466" s="1"/>
  <c r="C2467" l="1"/>
  <c r="C2468" s="1"/>
  <c r="C2469" s="1"/>
  <c r="C2470" s="1"/>
  <c r="C2471" s="1"/>
  <c r="C2472" s="1"/>
  <c r="C2473" s="1"/>
  <c r="C2474" l="1"/>
  <c r="C2475" s="1"/>
  <c r="C2476" l="1"/>
  <c r="C2477" s="1"/>
  <c r="C2478" s="1"/>
  <c r="C2479" l="1"/>
  <c r="C2480" s="1"/>
  <c r="C2481" l="1"/>
  <c r="C2482" s="1"/>
  <c r="C2483" l="1"/>
  <c r="C2484" s="1"/>
  <c r="C2485" l="1"/>
  <c r="C2486" s="1"/>
  <c r="C2487" l="1"/>
  <c r="C2488" s="1"/>
  <c r="C2489" s="1"/>
  <c r="C2490" s="1"/>
  <c r="C2491" s="1"/>
  <c r="C2492" s="1"/>
  <c r="C2493" s="1"/>
  <c r="C2494" s="1"/>
  <c r="C2495" l="1"/>
  <c r="C2496" s="1"/>
  <c r="C2497" s="1"/>
  <c r="C2498" s="1"/>
  <c r="C2499" s="1"/>
  <c r="C2500" l="1"/>
  <c r="C2501" s="1"/>
  <c r="C2502" s="1"/>
  <c r="C2503" l="1"/>
  <c r="C2504" s="1"/>
  <c r="C2505" l="1"/>
  <c r="C2506" s="1"/>
  <c r="C2507" s="1"/>
  <c r="C2508" l="1"/>
  <c r="C2509" s="1"/>
  <c r="C2510" s="1"/>
  <c r="C2511" l="1"/>
  <c r="C2512" l="1"/>
  <c r="C2513" s="1"/>
  <c r="C2514" s="1"/>
  <c r="C2515" s="1"/>
  <c r="C2516" s="1"/>
  <c r="C2517" l="1"/>
  <c r="C2518" s="1"/>
  <c r="C2519" s="1"/>
  <c r="C2520" l="1"/>
  <c r="C2521" s="1"/>
  <c r="C2522" l="1"/>
  <c r="C2523" s="1"/>
  <c r="C2524" s="1"/>
  <c r="C2525" s="1"/>
  <c r="C2526" l="1"/>
  <c r="C2527" s="1"/>
  <c r="C2528" l="1"/>
  <c r="C2529" s="1"/>
  <c r="C2530" l="1"/>
  <c r="C2531" s="1"/>
  <c r="C2532" l="1"/>
  <c r="C2533" s="1"/>
  <c r="C2534" s="1"/>
  <c r="C2535" l="1"/>
  <c r="C2536" s="1"/>
  <c r="C2537" s="1"/>
  <c r="C2538" l="1"/>
  <c r="C2539" s="1"/>
  <c r="C2540" l="1"/>
  <c r="C2541" s="1"/>
  <c r="C2542" s="1"/>
  <c r="C2543" s="1"/>
  <c r="C2544" l="1"/>
  <c r="C2545" s="1"/>
  <c r="C2546" l="1"/>
  <c r="C2547" s="1"/>
  <c r="C2548" l="1"/>
  <c r="C2549" s="1"/>
  <c r="C2550" s="1"/>
  <c r="C2551" l="1"/>
  <c r="C2552" s="1"/>
  <c r="C2553" s="1"/>
  <c r="C2554" l="1"/>
  <c r="C2555" s="1"/>
  <c r="C2556" s="1"/>
  <c r="C2557" l="1"/>
  <c r="C2558" s="1"/>
  <c r="C2559" s="1"/>
  <c r="C2560" s="1"/>
  <c r="C2561" l="1"/>
  <c r="C2562" s="1"/>
  <c r="C2563" l="1"/>
  <c r="C2564" s="1"/>
  <c r="C2565" s="1"/>
  <c r="C2566" l="1"/>
  <c r="C2567" s="1"/>
  <c r="C2568" l="1"/>
  <c r="C2569" s="1"/>
  <c r="C2570" s="1"/>
  <c r="C2571" s="1"/>
  <c r="C2572" s="1"/>
  <c r="C2573" s="1"/>
  <c r="C2574" s="1"/>
  <c r="C2575" l="1"/>
  <c r="C2576" s="1"/>
  <c r="C2577" s="1"/>
  <c r="C2578" s="1"/>
  <c r="C2579" s="1"/>
  <c r="C2580" l="1"/>
  <c r="C2581" s="1"/>
  <c r="C2582" s="1"/>
  <c r="C2583" s="1"/>
  <c r="C2584" s="1"/>
  <c r="C2585" l="1"/>
  <c r="C2586" s="1"/>
  <c r="C2587" s="1"/>
  <c r="C2588" s="1"/>
  <c r="C2589" s="1"/>
  <c r="C2590" s="1"/>
  <c r="C2591" s="1"/>
  <c r="C2592" s="1"/>
  <c r="C2593" l="1"/>
  <c r="C2594" s="1"/>
  <c r="C2595" s="1"/>
  <c r="C2596" s="1"/>
  <c r="C2597" s="1"/>
  <c r="C2598" s="1"/>
  <c r="C2599" s="1"/>
  <c r="C2600" s="1"/>
  <c r="C2601" s="1"/>
  <c r="C2602" s="1"/>
  <c r="C2603" s="1"/>
  <c r="C2604" s="1"/>
  <c r="C2605" s="1"/>
  <c r="C2606" l="1"/>
  <c r="C2607" s="1"/>
  <c r="C2608" l="1"/>
  <c r="C2609" s="1"/>
  <c r="C2610" l="1"/>
  <c r="C2611" s="1"/>
  <c r="C2612" s="1"/>
  <c r="C2613" s="1"/>
  <c r="C2614" l="1"/>
  <c r="C2615" s="1"/>
  <c r="C2616" l="1"/>
  <c r="C2617" s="1"/>
  <c r="C2618" s="1"/>
  <c r="C2619" l="1"/>
  <c r="C2620" s="1"/>
  <c r="C2621" s="1"/>
  <c r="C2622" s="1"/>
  <c r="C2623" s="1"/>
  <c r="C2624" s="1"/>
  <c r="C2625" s="1"/>
  <c r="C2626" s="1"/>
  <c r="C2627" l="1"/>
  <c r="C2628" s="1"/>
  <c r="C2629" l="1"/>
  <c r="C2630" s="1"/>
  <c r="C2631" s="1"/>
  <c r="C2632" l="1"/>
  <c r="C2633" s="1"/>
  <c r="C2634" s="1"/>
  <c r="C2635" l="1"/>
  <c r="C2636" s="1"/>
  <c r="C2637" s="1"/>
  <c r="C2638" s="1"/>
  <c r="C2639" s="1"/>
  <c r="C2640" l="1"/>
  <c r="C2641" s="1"/>
  <c r="C2642" s="1"/>
  <c r="C2643" s="1"/>
  <c r="C2645" l="1"/>
  <c r="C2646" s="1"/>
  <c r="C2647" s="1"/>
  <c r="C2648" s="1"/>
  <c r="C2649" s="1"/>
  <c r="C2650" s="1"/>
  <c r="C2651" s="1"/>
  <c r="C2644"/>
  <c r="C2653" l="1"/>
  <c r="C2654" s="1"/>
  <c r="C2655" s="1"/>
  <c r="C2652"/>
  <c r="C2657" l="1"/>
  <c r="C2658" s="1"/>
  <c r="C2656"/>
  <c r="C2659" l="1"/>
  <c r="C2660" s="1"/>
  <c r="C2662" l="1"/>
  <c r="C2663" s="1"/>
  <c r="C2664" s="1"/>
  <c r="C2665" s="1"/>
  <c r="C2666" s="1"/>
  <c r="C2661"/>
  <c r="C2668" l="1"/>
  <c r="C2669" s="1"/>
  <c r="C2670" s="1"/>
  <c r="C2671" s="1"/>
  <c r="C2667"/>
  <c r="C2673" l="1"/>
  <c r="C2674" s="1"/>
  <c r="C2672"/>
  <c r="C2676" l="1"/>
  <c r="C2677" s="1"/>
  <c r="C2678" s="1"/>
  <c r="C2675"/>
  <c r="C2680" l="1"/>
  <c r="C2681" s="1"/>
  <c r="C2682" s="1"/>
  <c r="D3" s="1"/>
  <c r="C2679"/>
</calcChain>
</file>

<file path=xl/sharedStrings.xml><?xml version="1.0" encoding="utf-8"?>
<sst xmlns="http://schemas.openxmlformats.org/spreadsheetml/2006/main" count="2795" uniqueCount="2760">
  <si>
    <t>Tabela progressiva do IR - Ano 2024</t>
  </si>
  <si>
    <t>De</t>
  </si>
  <si>
    <t>Até</t>
  </si>
  <si>
    <t>Alíquota</t>
  </si>
  <si>
    <t>Dedução</t>
  </si>
  <si>
    <t>Valor por dependente</t>
  </si>
  <si>
    <t>Valor do IR:</t>
  </si>
  <si>
    <t>Rendimentos tributáveis:</t>
  </si>
  <si>
    <t>Contribuição previdenciária:</t>
  </si>
  <si>
    <t>Número de dependentes:</t>
  </si>
  <si>
    <t>Dedução total de dependentes:</t>
  </si>
  <si>
    <t xml:space="preserve">Base de cálculo do IR: </t>
  </si>
  <si>
    <t>Valor da bolsa:</t>
  </si>
  <si>
    <t>Rendimentos tributáveis+bolsa:</t>
  </si>
  <si>
    <t>INSS bolsa:</t>
  </si>
  <si>
    <t>INSS Patronal:</t>
  </si>
  <si>
    <t>Simulador IR do contracheque (preencher somente as células azuis):</t>
  </si>
  <si>
    <t>Base de cálculo IR para o SIAFI:</t>
  </si>
  <si>
    <t>lançar a base de cálculo na dedução do SIAFI - DDF009</t>
  </si>
  <si>
    <t>Valor a ser lançado na retenção de IR da liquidação da bolsa - DDF009</t>
  </si>
  <si>
    <t>Valor Líquido:</t>
  </si>
  <si>
    <t>Medida Provisória 1.294 de 11 de abril de 2025</t>
  </si>
  <si>
    <t>Cálculo da retenção da bolsa de servidor (preencher somente o valor da bolsa)</t>
  </si>
  <si>
    <t>Tabela IR 2024</t>
  </si>
  <si>
    <t>A partir de 1º de maio/2025</t>
  </si>
  <si>
    <t>Tem que coincidir com o valor calculado no contracheque</t>
  </si>
  <si>
    <t>Revisão 7 - 13/05/2025</t>
  </si>
  <si>
    <t>Contribuição prev. considerada</t>
  </si>
  <si>
    <t>Tem que coincidir com o valor calculado no contracheque,</t>
  </si>
  <si>
    <t>podendo ocorrer diferença de um centavo devido a arredondamentos!</t>
  </si>
  <si>
    <t>Desconto simplificado</t>
  </si>
  <si>
    <t>Simulador IR do contracheque do servidor (preencher somente as células azuis):</t>
  </si>
  <si>
    <t>Rendimentos Tributáveis</t>
  </si>
  <si>
    <t>Até R$ 5.000,00</t>
  </si>
  <si>
    <t>Entre R$ 5.000,01 e R$ 7.350,00</t>
  </si>
  <si>
    <t>Cálculo do IR - 2026</t>
  </si>
  <si>
    <t>IR:</t>
  </si>
  <si>
    <t>Tabela IR 2026</t>
  </si>
  <si>
    <t>Para Rend. Tributáveis acima de R$ 7.350,00</t>
  </si>
  <si>
    <t>Cálculo da redução *</t>
  </si>
  <si>
    <t>*R$  978,62 - (0,133145 * Rendimentos Tributáveis)</t>
  </si>
  <si>
    <t>Acima de R$ 7.350,00 - Tabela I</t>
  </si>
  <si>
    <t xml:space="preserve">Tabela I -  progressiva do IR - Ano 2026 </t>
  </si>
  <si>
    <t>Cálculo do IR - 2026 - Exclusivo para a bolsa</t>
  </si>
  <si>
    <t>IR para bolsas:</t>
  </si>
  <si>
    <t>Data</t>
  </si>
  <si>
    <t>Versão</t>
  </si>
  <si>
    <t>Alteração</t>
  </si>
  <si>
    <t>13.2026.1</t>
  </si>
  <si>
    <t>13.2026.2</t>
  </si>
  <si>
    <t>Algumas validações adicionais nas fórmulas das células M21 e Q21</t>
  </si>
  <si>
    <t>Campo de referência para informação do nome do servidor/colaborador - G24</t>
  </si>
  <si>
    <t>Adequação da planilha para a nova metodologia de cálculo do IR para 2026</t>
  </si>
  <si>
    <t>13.2026.3</t>
  </si>
  <si>
    <t>13.2026.4</t>
  </si>
  <si>
    <t>Inclusão da célula do líquido a pagar para a bolsa, L21</t>
  </si>
  <si>
    <t>Retirei o cálculo do valor para colaborador, pois envolve outras análises, que não são o foco principal desta planilha</t>
  </si>
  <si>
    <t>lançar a base de cálculo na dedução do SIAFI - DDF054</t>
  </si>
  <si>
    <t>Valor a ser lançado na retenção de IR da liquidação da bolsa - DDF054</t>
  </si>
  <si>
    <t>Correção nas observações em vermelho, de DDF009 para DDF054</t>
  </si>
  <si>
    <t>13.2026.5</t>
  </si>
  <si>
    <t xml:space="preserve">Data de nascimento: </t>
  </si>
  <si>
    <t xml:space="preserve">CBO: </t>
  </si>
  <si>
    <t>CLASSIFICAÇÃO BRASILEIRA DE OCUPAÇÃO (CBO)</t>
  </si>
  <si>
    <t>CÓDIGO/TÍTULO</t>
  </si>
  <si>
    <t>10105 Oficial general da aeronáutica</t>
  </si>
  <si>
    <t>10110 Oficial general do exército</t>
  </si>
  <si>
    <t>10115 Oficial general da marinha</t>
  </si>
  <si>
    <t>10205 Oficial da aeronáutica</t>
  </si>
  <si>
    <t>10210 Oficial do exército</t>
  </si>
  <si>
    <t>10215 Oficial da marinha</t>
  </si>
  <si>
    <t>10305 Praça da aeronáutica</t>
  </si>
  <si>
    <t>10310 Praça do exército</t>
  </si>
  <si>
    <t>10315 Praça da marinha</t>
  </si>
  <si>
    <t>20105 Coronel da polícia militar</t>
  </si>
  <si>
    <t>20110 Tenente-coronel da polícia militar</t>
  </si>
  <si>
    <t>20115 Major da polícia militar</t>
  </si>
  <si>
    <t>20205 Capitão da polícia militar</t>
  </si>
  <si>
    <t>20305 Primeiro tenente de polícia militar</t>
  </si>
  <si>
    <t>20310 Segundo tenente de polícia militar</t>
  </si>
  <si>
    <t>21105 Subtenente da policia militar</t>
  </si>
  <si>
    <t>21110 Sargento da policia militar</t>
  </si>
  <si>
    <t>21205 Cabo da polícia militar</t>
  </si>
  <si>
    <t>21210 Soldado da polícia militar</t>
  </si>
  <si>
    <t>30105 Coronel bombeiro militar</t>
  </si>
  <si>
    <t>30110 Major bombeiro militar</t>
  </si>
  <si>
    <t>30115 Tenente-coronel bombeiro militar</t>
  </si>
  <si>
    <t>30205 Capitão bombeiro militar</t>
  </si>
  <si>
    <t>30305 Tenente do corpo de bombeiros militar</t>
  </si>
  <si>
    <t>31105 Subtenente bombeiro militar</t>
  </si>
  <si>
    <t>31110 Sargento bombeiro militar</t>
  </si>
  <si>
    <t>31205 Cabo bombeiro militar</t>
  </si>
  <si>
    <t>31210 Soldado bombeiro militar</t>
  </si>
  <si>
    <t>111105 Senador</t>
  </si>
  <si>
    <t>111110 Deputado federal</t>
  </si>
  <si>
    <t>111115 Deputado estadual e distrital</t>
  </si>
  <si>
    <t>111120 Vereador</t>
  </si>
  <si>
    <t>111205 Presidente da república</t>
  </si>
  <si>
    <t>111210 Vice-presidente da república</t>
  </si>
  <si>
    <t>111215 Ministro de estado</t>
  </si>
  <si>
    <t>111220 Secretário - executivo</t>
  </si>
  <si>
    <t>111225 Membro superior do poder executivo</t>
  </si>
  <si>
    <t>111230 Governador de estado</t>
  </si>
  <si>
    <t>111235 Governador do distrito federal</t>
  </si>
  <si>
    <t>111240 Vice-governador de estado</t>
  </si>
  <si>
    <t>111245 Vice-governador do distrito federal</t>
  </si>
  <si>
    <t>111250 Prefeito</t>
  </si>
  <si>
    <t>111255 Vice-prefeito</t>
  </si>
  <si>
    <t>111305 Ministro do supremo tribunal federal</t>
  </si>
  <si>
    <t>111310 Ministro do superior tribunal de justiça</t>
  </si>
  <si>
    <t>111315 Ministro do  superior tribunal militar</t>
  </si>
  <si>
    <t>111320 Ministro do  superior tribunal do trabalho</t>
  </si>
  <si>
    <t>111325 Juiz de direito</t>
  </si>
  <si>
    <t>111330 Juiz federal</t>
  </si>
  <si>
    <t>111335 Juiz auditor federal - justiça militar</t>
  </si>
  <si>
    <t>111340 Juiz auditor estadual - justiça militar</t>
  </si>
  <si>
    <t>111345 Juiz do trabalho</t>
  </si>
  <si>
    <t>111405 Dirigente do serviço público federal</t>
  </si>
  <si>
    <t>111410 Dirigente do serviço público estadual e distrital</t>
  </si>
  <si>
    <t>111415 Dirigente do serviço público municipal</t>
  </si>
  <si>
    <t>111505 Especialista de políticas públicas e gestão governamental - eppgg</t>
  </si>
  <si>
    <t>111510 Analista de planejamento e orçamento - apo</t>
  </si>
  <si>
    <t>113005 Cacique</t>
  </si>
  <si>
    <t>113010 Líder de comunidade caiçara</t>
  </si>
  <si>
    <t>113015 Membro de liderança quilombola</t>
  </si>
  <si>
    <t>114105 Dirigente de partido político</t>
  </si>
  <si>
    <t>114205 Dirigentes de entidades de trabalhadores</t>
  </si>
  <si>
    <t>114210 Dirigentes de entidades patronais</t>
  </si>
  <si>
    <t>114305 Dirigente e administrador de organização religiosa</t>
  </si>
  <si>
    <t>114405 Dirigente e administrador de organização da sociedade civil sem fins lucrativos</t>
  </si>
  <si>
    <t>121005 Diretor de planejamento estratégico</t>
  </si>
  <si>
    <t>121010 Diretor geral de empresa e organizações (exceto de interesse público)</t>
  </si>
  <si>
    <t>122105 Diretor de produção e operações em empresa agropecuária</t>
  </si>
  <si>
    <t>122110 Diretor de produção e operações em empresa aqüícola</t>
  </si>
  <si>
    <t>122115 Diretor de produção e operações em empresa florestal</t>
  </si>
  <si>
    <t>122120 Diretor de produção e operações em empresa pesqueira</t>
  </si>
  <si>
    <t>122205 Diretor de produção e operações da indústria de transformação, extração mineral e utilidades</t>
  </si>
  <si>
    <t>122305 Diretor de operações de obras pública e civil</t>
  </si>
  <si>
    <t>122405 Diretor de operações comerciais (comércio atacadista e varejista)</t>
  </si>
  <si>
    <t>122505 Diretor de  produção e operações de alimentação</t>
  </si>
  <si>
    <t>122510 Diretor de  produção e operações de hotel</t>
  </si>
  <si>
    <t>122515 Diretor de  produção e operações de turismo</t>
  </si>
  <si>
    <t>122520 Turismólogo</t>
  </si>
  <si>
    <t>122605 Diretor de operações de correios</t>
  </si>
  <si>
    <t>122610 Diretor de operações de serviços de armazenamento</t>
  </si>
  <si>
    <t>122615 Diretor de operações de serviços de telecomunicações</t>
  </si>
  <si>
    <t>122620 Diretor de operações de serviços de transporte</t>
  </si>
  <si>
    <t>122705 Diretor comercial em operações de intermediação financeira</t>
  </si>
  <si>
    <t>122710 Diretor de produtos bancários</t>
  </si>
  <si>
    <t>122715 Diretor de crédito rural</t>
  </si>
  <si>
    <t>122720 Diretor de câmbio e comércio exterior</t>
  </si>
  <si>
    <t>122725 Diretor de compliance</t>
  </si>
  <si>
    <t>122730 Diretor de crédito (exceto crédito imobiliário)</t>
  </si>
  <si>
    <t>122735 Diretor de crédito imobiliário</t>
  </si>
  <si>
    <t>122740 Diretor de leasing</t>
  </si>
  <si>
    <t>122745 Diretor de mercado de capitais</t>
  </si>
  <si>
    <t>122750 Diretor de recuperação de créditos em operações de intermediação financeira</t>
  </si>
  <si>
    <t>122755 Diretor de riscos de mercado</t>
  </si>
  <si>
    <t>123105 Diretor administrativo</t>
  </si>
  <si>
    <t>123110 Diretor administrativo e financeiro</t>
  </si>
  <si>
    <t>123115 Diretor financeiro</t>
  </si>
  <si>
    <t>123205 Diretor de recursos humanos</t>
  </si>
  <si>
    <t>123210 Diretor de relações de trabalho</t>
  </si>
  <si>
    <t>123305 Diretor comercial</t>
  </si>
  <si>
    <t>123310 Diretor de marketing</t>
  </si>
  <si>
    <t>123405 Diretor de suprimentos</t>
  </si>
  <si>
    <t>123410 Diretor de suprimentos no serviço público</t>
  </si>
  <si>
    <t>123605 Diretor de tecnologia da informação</t>
  </si>
  <si>
    <t>123705 Diretor de pesquisa e desenvolvimento (p&amp;d)</t>
  </si>
  <si>
    <t>123805 Diretor de manutenção</t>
  </si>
  <si>
    <t>131105 Diretor de serviços culturais</t>
  </si>
  <si>
    <t>131110 Diretor de serviços sociais</t>
  </si>
  <si>
    <t>131115 Gerente de serviços culturais</t>
  </si>
  <si>
    <t>131120 Gerente de serviços sociais</t>
  </si>
  <si>
    <t>131205 Diretor de serviços de saúde</t>
  </si>
  <si>
    <t>131210 Gerente de serviços de saúde</t>
  </si>
  <si>
    <t>131215 Tecnólogo em gestão hospitalar</t>
  </si>
  <si>
    <t>131220 Gerontólogo</t>
  </si>
  <si>
    <t>131225 Sanitarista</t>
  </si>
  <si>
    <t>131305 Diretor de instituição educacional da área privada</t>
  </si>
  <si>
    <t>131310 Diretor de instituição educacional pública</t>
  </si>
  <si>
    <t>131315 Gerente de instituição educacional da área privada</t>
  </si>
  <si>
    <t>131320 Gerente de serviços educacionais da área pública</t>
  </si>
  <si>
    <t>141105 Gerente de produção e operações  aqüícolas</t>
  </si>
  <si>
    <t>141110 Gerente de produção e operações  florestais</t>
  </si>
  <si>
    <t>141115 Gerente de produção e operações agropecuárias</t>
  </si>
  <si>
    <t>141120 Gerente de produção e operações pesqueiras</t>
  </si>
  <si>
    <t>141205 Gerente de produção e operações</t>
  </si>
  <si>
    <t>141305 Gerente de produção e operações da construção civil e obras públicas</t>
  </si>
  <si>
    <t>141405 Comerciante atacadista</t>
  </si>
  <si>
    <t>141410 Comerciante varejista</t>
  </si>
  <si>
    <t>141415 Gerente de loja e supermercado</t>
  </si>
  <si>
    <t>141420 Gerente de operações de serviços de assistência técnica</t>
  </si>
  <si>
    <t>141505 Gerente de hotel</t>
  </si>
  <si>
    <t>141510 Gerente de restaurante</t>
  </si>
  <si>
    <t>141515 Gerente de bar</t>
  </si>
  <si>
    <t>141520 Gerente de pensão</t>
  </si>
  <si>
    <t>141525 Gerente de turismo</t>
  </si>
  <si>
    <t>141605 Gerente de operações de transportes</t>
  </si>
  <si>
    <t>141610 Gerente de operações de correios e telecomunicações</t>
  </si>
  <si>
    <t>141615 Gerente de logística (armazenagem e distribuição)</t>
  </si>
  <si>
    <t>141705 Gerente de produtos bancários</t>
  </si>
  <si>
    <t>141710 Gerente de agência</t>
  </si>
  <si>
    <t>141715 Gerente de câmbio e comércio exterior</t>
  </si>
  <si>
    <t>141720 Gerente de crédito e cobrança</t>
  </si>
  <si>
    <t>141725 Gerente de crédito imobiliário</t>
  </si>
  <si>
    <t>141730 Gerente de crédito rural</t>
  </si>
  <si>
    <t>141735 Gerente de recuperação de crédito</t>
  </si>
  <si>
    <t>141805 Gerente de administração em aeroportos</t>
  </si>
  <si>
    <t>141810 Gerente de empresa aérea e empresa de serviços auxiliares ao transporte aéreo (esata) em aeroportos</t>
  </si>
  <si>
    <t>141815 Gerente de operações em aeroportos</t>
  </si>
  <si>
    <t>141820 Gerente de operações de cargas</t>
  </si>
  <si>
    <t>141825 Gerente de segurança da aviação civil</t>
  </si>
  <si>
    <t>141830 Gerente de segurança operacional (aviação civil)</t>
  </si>
  <si>
    <t>142105 Gerente administrativo</t>
  </si>
  <si>
    <t>142110 Gerente de riscos</t>
  </si>
  <si>
    <t>142115 Gerente financeiro</t>
  </si>
  <si>
    <t>142120 Tecnólogo em gestão administrativo- financeira</t>
  </si>
  <si>
    <t>142125 Analista de compliance</t>
  </si>
  <si>
    <t>142130 Analista de riscos</t>
  </si>
  <si>
    <t>142135 Oficial de proteção de dados pessoais (dpo)</t>
  </si>
  <si>
    <t>142205 Gerente de recursos humanos</t>
  </si>
  <si>
    <t>142210 Gerente de departamento pessoal</t>
  </si>
  <si>
    <t>142305 Gerente comercial</t>
  </si>
  <si>
    <t>142310 Gerente de comunicação</t>
  </si>
  <si>
    <t>142315 Gerente de marketing</t>
  </si>
  <si>
    <t>142320 Gerente de vendas</t>
  </si>
  <si>
    <t>142325 Relações públicas</t>
  </si>
  <si>
    <t>142330 Analista de negócios</t>
  </si>
  <si>
    <t>142335 Analista de pesquisa de mercado</t>
  </si>
  <si>
    <t>142340 Ouvidor</t>
  </si>
  <si>
    <t>142345 Profissional de relações institucionais e governamentais</t>
  </si>
  <si>
    <t>142350 Profissonal de relações internacionais</t>
  </si>
  <si>
    <t>142355 Analista de e-commerce</t>
  </si>
  <si>
    <t>142405 Gerente de compras</t>
  </si>
  <si>
    <t>142410 Gerente de suprimentos</t>
  </si>
  <si>
    <t>142415 Gerente de almoxarifado</t>
  </si>
  <si>
    <t>142505 Gerente de infraestrutura de tecnologia da informação</t>
  </si>
  <si>
    <t>142510 Gerente de desenvolvimento de sistemas</t>
  </si>
  <si>
    <t>142515 Gerente de operação de tecnologia da informação</t>
  </si>
  <si>
    <t>142520 Gerente de projetos de tecnologia da informação</t>
  </si>
  <si>
    <t>142525 Gerente de segurança da informação</t>
  </si>
  <si>
    <t>142530 Gerente de suporte técnico de tecnologia da informação</t>
  </si>
  <si>
    <t>142535 Tecnólogo em gestão da tecnologia da informação</t>
  </si>
  <si>
    <t>142605 Gerente de pesquisa e desenvolvimento (p&amp;d)</t>
  </si>
  <si>
    <t>142610 Especialista em desenvolvimento de cigarros</t>
  </si>
  <si>
    <t>142705 Gerente de projetos e serviços de manutenção</t>
  </si>
  <si>
    <t>142710 Tecnólogo em sistemas biomédicos</t>
  </si>
  <si>
    <t>201105 Bioengenheiro</t>
  </si>
  <si>
    <t>201110 Biotecnologista</t>
  </si>
  <si>
    <t>201115 Geneticista</t>
  </si>
  <si>
    <t>201205 Pesquisador em metrologia</t>
  </si>
  <si>
    <t>201210 Especialista em calibrações metrológicas</t>
  </si>
  <si>
    <t>201215 Especialista em ensaios metrológicos</t>
  </si>
  <si>
    <t>201220 Especialista em instrumentação metrológica</t>
  </si>
  <si>
    <t>201225 Especialista em materiais de referência metrológica</t>
  </si>
  <si>
    <t>202105 Engenheiro mecatrônico</t>
  </si>
  <si>
    <t>202110 Engenheiro de controle e automação</t>
  </si>
  <si>
    <t>202115 Tecnólogo em mecatrônica</t>
  </si>
  <si>
    <t>202120 Tecnólogo em automação industrial</t>
  </si>
  <si>
    <t>203005 Pesquisador em biologia ambiental</t>
  </si>
  <si>
    <t>203010 Pesquisador em biologia animal</t>
  </si>
  <si>
    <t>203015 Pesquisador em biologia de microorganismos e parasitas</t>
  </si>
  <si>
    <t>203020 Pesquisador em biologia humana</t>
  </si>
  <si>
    <t>203025 Pesquisador em biologia vegetal</t>
  </si>
  <si>
    <t>203105 Pesquisador em ciências da computação e informática</t>
  </si>
  <si>
    <t>203110 Pesquisador em ciências da terra e meio ambiente</t>
  </si>
  <si>
    <t>203115 Pesquisador em física</t>
  </si>
  <si>
    <t>203120 Pesquisador em matemática</t>
  </si>
  <si>
    <t>203125 Pesquisador em química</t>
  </si>
  <si>
    <t>203205 Pesquisador de engenharia civil</t>
  </si>
  <si>
    <t>203210 Pesquisador de engenharia e tecnologia (outras áreas da engenharia)</t>
  </si>
  <si>
    <t>203215 Pesquisador de engenharia elétrica e eletrônica</t>
  </si>
  <si>
    <t>203220 Pesquisador de engenharia mecânica</t>
  </si>
  <si>
    <t>203225 Pesquisador de engenharia metalúrgica, de minas e de materiais</t>
  </si>
  <si>
    <t>203230 Pesquisador de engenharia química</t>
  </si>
  <si>
    <t>203305 Pesquisador de clínica médica</t>
  </si>
  <si>
    <t>203310 Pesquisador de medicina básica</t>
  </si>
  <si>
    <t>203315 Pesquisador em medicina veterinária</t>
  </si>
  <si>
    <t>203320 Pesquisador em saúde coletiva</t>
  </si>
  <si>
    <t>203405 Pesquisador em ciências agronômicas</t>
  </si>
  <si>
    <t>203410 Pesquisador em ciências da pesca e aqüicultura</t>
  </si>
  <si>
    <t>203415 Pesquisador em ciências da zootecnia</t>
  </si>
  <si>
    <t>203420 Pesquisador em ciências florestais</t>
  </si>
  <si>
    <t>203505 Pesquisador em ciências sociais e humanas</t>
  </si>
  <si>
    <t>203510 Pesquisador em economia</t>
  </si>
  <si>
    <t>203515 Pesquisador em ciências da educação</t>
  </si>
  <si>
    <t>203520 Pesquisador em história</t>
  </si>
  <si>
    <t>203525 Pesquisador em psicologia</t>
  </si>
  <si>
    <t>204105 Perito criminal</t>
  </si>
  <si>
    <t>204110 Perito judicial</t>
  </si>
  <si>
    <t>211105 Atuário</t>
  </si>
  <si>
    <t>211110 Especialista em pesquisa operacional</t>
  </si>
  <si>
    <t>211115 Matemático</t>
  </si>
  <si>
    <t>211120 Matemático aplicado</t>
  </si>
  <si>
    <t>211205 Estatístico</t>
  </si>
  <si>
    <t>211210 Estatístico (estatística aplicada)</t>
  </si>
  <si>
    <t>211215 Estatístico teórico</t>
  </si>
  <si>
    <t>212205 Engenheiro de aplicativos em computação</t>
  </si>
  <si>
    <t>212210 Engenheiro de equipamentos em computação</t>
  </si>
  <si>
    <t>212215 Engenheiros de sistemas operacionais em computação</t>
  </si>
  <si>
    <t>212305 Administrador de banco de dados</t>
  </si>
  <si>
    <t>212310 Administrador de redes</t>
  </si>
  <si>
    <t>212315 Administrador de sistemas operacionais</t>
  </si>
  <si>
    <t>212320 Administrador em segurança da informação</t>
  </si>
  <si>
    <t>212405 Analista de desenvolvimento de sistemas</t>
  </si>
  <si>
    <t>212410 Analista de redes e de comunicação de dados</t>
  </si>
  <si>
    <t>212415 Analista de sistemas de automação</t>
  </si>
  <si>
    <t>212420 Analista de suporte computacional</t>
  </si>
  <si>
    <t>212425 Arquiteto de soluções de tecnologia da informação</t>
  </si>
  <si>
    <t>212430 Analista de testes de tecnologia da informação</t>
  </si>
  <si>
    <t>213105 Físico</t>
  </si>
  <si>
    <t>213110 Físico (acústica)</t>
  </si>
  <si>
    <t>213115 Físico (atômica e molecular)</t>
  </si>
  <si>
    <t>213120 Físico (cosmologia)</t>
  </si>
  <si>
    <t>213125 Físico (estatística e matemática)</t>
  </si>
  <si>
    <t>213130 Físico (fluidos)</t>
  </si>
  <si>
    <t>213135 Físico (instrumentação)</t>
  </si>
  <si>
    <t>213140 Físico (matéria condensada)</t>
  </si>
  <si>
    <t>213145 Físico (materiais)</t>
  </si>
  <si>
    <t>213150 Físico (medicina)</t>
  </si>
  <si>
    <t>213155 Físico (nuclear e reatores)</t>
  </si>
  <si>
    <t>213160 Físico (óptica)</t>
  </si>
  <si>
    <t>213165 Físico (partículas e campos)</t>
  </si>
  <si>
    <t>213170 Físico (plasma)</t>
  </si>
  <si>
    <t>213175 Físico (térmica)</t>
  </si>
  <si>
    <t>213205 Químico</t>
  </si>
  <si>
    <t>213210 Químico industrial</t>
  </si>
  <si>
    <t>213215 Tecnólogo em processos químicos</t>
  </si>
  <si>
    <t>213305 Astrônomo</t>
  </si>
  <si>
    <t>213310 Geofísico espacial</t>
  </si>
  <si>
    <t>213315 Meteorologista</t>
  </si>
  <si>
    <t>213405 Geólogo</t>
  </si>
  <si>
    <t>213410 Geólogo de engenharia</t>
  </si>
  <si>
    <t>213415 Geofísico</t>
  </si>
  <si>
    <t>213420 Geoquímico</t>
  </si>
  <si>
    <t>213425 Hidrogeólogo</t>
  </si>
  <si>
    <t>213430 Paleontólogo</t>
  </si>
  <si>
    <t>213435 Petrógrafo</t>
  </si>
  <si>
    <t>213440 Oceanógrafo</t>
  </si>
  <si>
    <t>214005 Engenheiro ambiental</t>
  </si>
  <si>
    <t>214010 Tecnólogo em meio ambiente</t>
  </si>
  <si>
    <t>214105 Arquiteto de edificações</t>
  </si>
  <si>
    <t>214110 Arquiteto de interiores</t>
  </si>
  <si>
    <t>214115 Arquiteto de patrimônio</t>
  </si>
  <si>
    <t>214120 Arquiteto paisagista</t>
  </si>
  <si>
    <t>214125 Arquiteto urbanista</t>
  </si>
  <si>
    <t>214130 Urbanista</t>
  </si>
  <si>
    <t>214205 Engenheiro civil</t>
  </si>
  <si>
    <t>214210 Engenheiro civil (aeroportos)</t>
  </si>
  <si>
    <t>214215 Engenheiro civil (edificações)</t>
  </si>
  <si>
    <t>214220 Engenheiro civil (estruturas metálicas)</t>
  </si>
  <si>
    <t>214225 Engenheiro civil (ferrovias e metrovias)</t>
  </si>
  <si>
    <t>214230 Engenheiro civil (geotécnia)</t>
  </si>
  <si>
    <t>214235 Engenheiro civil (hidrologia)</t>
  </si>
  <si>
    <t>214240 Engenheiro civil (hidráulica)</t>
  </si>
  <si>
    <t>214245 Engenheiro civil (pontes e viadutos)</t>
  </si>
  <si>
    <t>214250 Engenheiro civil (portos e vias navegáveis)</t>
  </si>
  <si>
    <t>214255 Engenheiro civil (rodovias)</t>
  </si>
  <si>
    <t>214260 Engenheiro civil (saneamento)</t>
  </si>
  <si>
    <t>214265 Engenheiro civil (túneis)</t>
  </si>
  <si>
    <t>214270 Engenheiro civil (transportes e trânsito)</t>
  </si>
  <si>
    <t>214280 Tecnólogo em construção civil</t>
  </si>
  <si>
    <t>214305 Engenheiro eletricista</t>
  </si>
  <si>
    <t>214310 Engenheiro eletrônico</t>
  </si>
  <si>
    <t>214315 Engenheiro eletricista de manutenção</t>
  </si>
  <si>
    <t>214320 Engenheiro eletricista de projetos</t>
  </si>
  <si>
    <t>214325 Engenheiro eletrônico de manutenção</t>
  </si>
  <si>
    <t>214330 Engenheiro eletrônico de projetos</t>
  </si>
  <si>
    <t>214335 Engenheiro de manutenção de telecomunicações</t>
  </si>
  <si>
    <t>214340 Engenheiro de telecomunicações</t>
  </si>
  <si>
    <t>214345 Engenheiro projetista de telecomunicações</t>
  </si>
  <si>
    <t>214350 Engenheiro de redes de comunicação</t>
  </si>
  <si>
    <t>214360 Tecnólogo em eletricidade</t>
  </si>
  <si>
    <t>214365 Tecnólogo em eletrônica</t>
  </si>
  <si>
    <t>214370 Tecnólogo em telecomunicações</t>
  </si>
  <si>
    <t>214375 Engenheiro de energia</t>
  </si>
  <si>
    <t>214380 Engenheiro biomédico</t>
  </si>
  <si>
    <t>214405 Engenheiro mecânico</t>
  </si>
  <si>
    <t>214410 Engenheiro mecânico automotivo</t>
  </si>
  <si>
    <t>214415 Engenheiro mecânico (energia nuclear)</t>
  </si>
  <si>
    <t>214420 Engenheiro mecânico industrial</t>
  </si>
  <si>
    <t>214425 Engenheiro aeronáutico</t>
  </si>
  <si>
    <t>214430 Engenheiro naval</t>
  </si>
  <si>
    <t>214435 Tecnólogo em fabricação mecânica</t>
  </si>
  <si>
    <t>214505 Engenheiro químico</t>
  </si>
  <si>
    <t>214510 Engenheiro químico (indústria química)</t>
  </si>
  <si>
    <t>214515 Engenheiro químico (mineração, metalurgia, siderurgia, cimenteira e cerâmica)</t>
  </si>
  <si>
    <t>214520 Engenheiro químico (papel e celulose)</t>
  </si>
  <si>
    <t>214525 Engenheiro químico (petróleo e borracha)</t>
  </si>
  <si>
    <t>214530 Engenheiro químico (utilidades e meio ambiente)</t>
  </si>
  <si>
    <t>214535 Tecnólogo em produção sulcroalcooleira</t>
  </si>
  <si>
    <t>214540 Engenheiro têxtil</t>
  </si>
  <si>
    <t>214605 Engenheiro de materiais</t>
  </si>
  <si>
    <t>214610 Engenheiro metalurgista</t>
  </si>
  <si>
    <t>214615 Tecnólogo em metalurgia</t>
  </si>
  <si>
    <t>214705 Engenheiro de minas</t>
  </si>
  <si>
    <t>214710 Engenheiro de minas (beneficiamento)</t>
  </si>
  <si>
    <t>214715 Engenheiro de minas (lavra a céu aberto)</t>
  </si>
  <si>
    <t>214720 Engenheiro de minas (lavra subterrânea)</t>
  </si>
  <si>
    <t>214725 Engenheiro de minas (pesquisa mineral)</t>
  </si>
  <si>
    <t>214730 Engenheiro de minas (planejamento)</t>
  </si>
  <si>
    <t>214735 Engenheiro de minas (processo)</t>
  </si>
  <si>
    <t>214740 Engenheiro de minas (projeto)</t>
  </si>
  <si>
    <t>214745 Tecnólogo em petróleo e gás</t>
  </si>
  <si>
    <t>214750 Tecnólogo em rochas ornamentais</t>
  </si>
  <si>
    <t>214805 Engenheiro agrimensor</t>
  </si>
  <si>
    <t>214810 Engenheiro cartógrafo</t>
  </si>
  <si>
    <t>214905 Engenheiro de produção</t>
  </si>
  <si>
    <t>214910 Engenheiro de controle de qualidade</t>
  </si>
  <si>
    <t>214915 Engenheiro de segurança do trabalho</t>
  </si>
  <si>
    <t>214920 Engenheiro de riscos</t>
  </si>
  <si>
    <t>214925 Engenheiro de tempos e movimentos</t>
  </si>
  <si>
    <t>214930 Tecnólogo em produção industrial</t>
  </si>
  <si>
    <t>214935 Tecnólogo em segurança do trabalho</t>
  </si>
  <si>
    <t>214940 Higienista ocupacional</t>
  </si>
  <si>
    <t>214945 Engenheiro de logistica</t>
  </si>
  <si>
    <t>215105 Agente de manobra e docagem</t>
  </si>
  <si>
    <t>215110 Capitão de manobra da marinha mercante</t>
  </si>
  <si>
    <t>215115 Comandante da marinha mercante</t>
  </si>
  <si>
    <t>215120 Coordenador de operações de combate à poluição no meio aquaviário</t>
  </si>
  <si>
    <t>215125 Imediato da marinha mercante</t>
  </si>
  <si>
    <t>215130 Inspetor de terminal</t>
  </si>
  <si>
    <t>215135 Inspetor naval</t>
  </si>
  <si>
    <t>215140 Oficial de quarto de navegação da marinha mercante</t>
  </si>
  <si>
    <t>215145 Prático de portos da marinha mercante</t>
  </si>
  <si>
    <t>215150 Vistoriador naval</t>
  </si>
  <si>
    <t>215205 Oficial superior de máquinas da marinha mercante</t>
  </si>
  <si>
    <t>215210 Primeiro oficial de máquinas da marinha mercante</t>
  </si>
  <si>
    <t>215215 Segundo oficial de máquinas da marinha mercante</t>
  </si>
  <si>
    <t>215220 Superintendente técnico no transporte aquaviário</t>
  </si>
  <si>
    <t>215305 Piloto de aeronaves</t>
  </si>
  <si>
    <t>215310 Piloto de ensaios em vôo</t>
  </si>
  <si>
    <t>215315 Instrutor de vôo</t>
  </si>
  <si>
    <t>221105 Biólogo</t>
  </si>
  <si>
    <t>221205 Biomédico</t>
  </si>
  <si>
    <t>222105 Engenheiro agrícola</t>
  </si>
  <si>
    <t>222110 Engenheiro agrônomo</t>
  </si>
  <si>
    <t>222115 Engenheiro de pesca</t>
  </si>
  <si>
    <t>222120 Engenheiro florestal</t>
  </si>
  <si>
    <t>222125 Tecnólogo em agronegócio</t>
  </si>
  <si>
    <t>222205 Engenheiro de alimentos</t>
  </si>
  <si>
    <t>222215 Tecnólogo em alimentos</t>
  </si>
  <si>
    <t>223204 Cirurgião dentista - auditor</t>
  </si>
  <si>
    <t>223208 Cirurgião dentista - clínico geral</t>
  </si>
  <si>
    <t>223212 Cirurgião dentista - endodontista</t>
  </si>
  <si>
    <t>223216 Cirurgião dentista - epidemiologista</t>
  </si>
  <si>
    <t>223220 Cirurgião dentista - estomatologista</t>
  </si>
  <si>
    <t>223224 Cirurgião dentista - implantodontista</t>
  </si>
  <si>
    <t>223228 Cirurgião dentista - odontogeriatra</t>
  </si>
  <si>
    <t>223232 Cirurgião dentista - odontologista legal</t>
  </si>
  <si>
    <t>223236 Cirurgião dentista - odontopediatra</t>
  </si>
  <si>
    <t>223240 Cirurgião dentista - ortopedista e ortodontista</t>
  </si>
  <si>
    <t>223244 Cirurgião dentista - patologista bucal</t>
  </si>
  <si>
    <t>223248 Cirurgião dentista - periodontista</t>
  </si>
  <si>
    <t>223252 Cirurgião dentista - protesiólogo bucomaxilofacial</t>
  </si>
  <si>
    <t>223256 Cirurgião dentista - protesista</t>
  </si>
  <si>
    <t>223260 Cirurgião dentista - radiologista</t>
  </si>
  <si>
    <t>223264 Cirurgião dentista - reabilitador oral</t>
  </si>
  <si>
    <t>223268 Cirurgião dentista - traumatologista bucomaxilofacial</t>
  </si>
  <si>
    <t>223272 Cirurgião dentista de saúde coletiva</t>
  </si>
  <si>
    <t>223276 Cirurgião dentista - odontologia do trabalho</t>
  </si>
  <si>
    <t>223280 Cirurgião dentista - dentística</t>
  </si>
  <si>
    <t>223284 Cirurgião dentista - disfunção temporomandibular e dor orofacial</t>
  </si>
  <si>
    <t>223288 Cirurgião dentista - odontologia para pacientes com necessidades especiais</t>
  </si>
  <si>
    <t>223293 Cirurgião-dentista da estratégia de saúde da família</t>
  </si>
  <si>
    <t>223305 Médico veterinário</t>
  </si>
  <si>
    <t>223310 Zootecnista</t>
  </si>
  <si>
    <t>223405 Farmacêutico</t>
  </si>
  <si>
    <t>223415 Farmacêutico analista clínico</t>
  </si>
  <si>
    <t>223420 Farmacêutico de alimentos</t>
  </si>
  <si>
    <t>223425 Farmacêutico práticas integrativas e complementares</t>
  </si>
  <si>
    <t>223430 Farmacêutico em saúde pública</t>
  </si>
  <si>
    <t>223435 Farmacêutico industrial</t>
  </si>
  <si>
    <t>223440 Farmacêutico toxicologista</t>
  </si>
  <si>
    <t>223445 Farmacêutico hospitalar e clínico</t>
  </si>
  <si>
    <t>223505 Enfermeiro</t>
  </si>
  <si>
    <t>223510 Enfermeiro auditor</t>
  </si>
  <si>
    <t>223515 Enfermeiro de bordo</t>
  </si>
  <si>
    <t>223520 Enfermeiro de centro cirúrgico</t>
  </si>
  <si>
    <t>223525 Enfermeiro de terapia intensiva</t>
  </si>
  <si>
    <t>223530 Enfermeiro do trabalho</t>
  </si>
  <si>
    <t>223535 Enfermeiro nefrologista</t>
  </si>
  <si>
    <t>223540 Enfermeiro neonatologista</t>
  </si>
  <si>
    <t>223545 Enfermeiro obstétrico</t>
  </si>
  <si>
    <t>223550 Enfermeiro psiquiátrico</t>
  </si>
  <si>
    <t>223555 Enfermeiro puericultor e pediátrico</t>
  </si>
  <si>
    <t>223560 Enfermeiro sanitarista</t>
  </si>
  <si>
    <t>223565 Enfermeiro da estratégia de saúde da família</t>
  </si>
  <si>
    <t>223570 Perfusionista</t>
  </si>
  <si>
    <t>223575 Obstetriz</t>
  </si>
  <si>
    <t>223605 Fisioterapeuta geral</t>
  </si>
  <si>
    <t>223625 Fisioterapeuta respiratória</t>
  </si>
  <si>
    <t>223630 Fisioterapeuta neurofuncional</t>
  </si>
  <si>
    <t>223635 Fisioterapeuta traumato-ortopédica funcional</t>
  </si>
  <si>
    <t>223640 Fisioterapeuta osteopata</t>
  </si>
  <si>
    <t>223645 Fisioterapeuta quiropraxista</t>
  </si>
  <si>
    <t>223650 Fisioterapeuta acupunturista</t>
  </si>
  <si>
    <t>223655 Fisioterapeuta esportivo</t>
  </si>
  <si>
    <t>223660 Fisioterapeuta  do trabalho</t>
  </si>
  <si>
    <t>223705 Dietista</t>
  </si>
  <si>
    <t>223710 Nutricionista</t>
  </si>
  <si>
    <t>223810 Fonoaudiólogo geral</t>
  </si>
  <si>
    <t>223815 Fonoaudiólogo educacional</t>
  </si>
  <si>
    <t>223820 Fonoaudiólogo em audiologia</t>
  </si>
  <si>
    <t>223825 Fonoaudiólogo em disfagia</t>
  </si>
  <si>
    <t>223830 Fonoaudiólogo em linguagem</t>
  </si>
  <si>
    <t>223835 Fonoaudiólogo em motricidade orofacial</t>
  </si>
  <si>
    <t>223840 Fonoaudiólogo em saúde coletiva</t>
  </si>
  <si>
    <t>223845 Fonoaudiólogo em voz</t>
  </si>
  <si>
    <t>223905 Terapeuta ocupacional</t>
  </si>
  <si>
    <t>223910 Ortoptista</t>
  </si>
  <si>
    <t>223915 Psicomotricista</t>
  </si>
  <si>
    <t>224105 Avaliador físico</t>
  </si>
  <si>
    <t>224110 Ludomotricista</t>
  </si>
  <si>
    <t>224115 Preparador de atleta</t>
  </si>
  <si>
    <t>224120 Preparador físico</t>
  </si>
  <si>
    <t>224125 Técnico de desporto individual e coletivo (exceto futebol)</t>
  </si>
  <si>
    <t>224130 Técnico de laboratório e fiscalização desportiva</t>
  </si>
  <si>
    <t>224135 Treinador profissional de futebol</t>
  </si>
  <si>
    <t>224140 Profissional de educação física na saúde</t>
  </si>
  <si>
    <t>225103 Médico infectologista</t>
  </si>
  <si>
    <t>225105 Médico acupunturista</t>
  </si>
  <si>
    <t>225106 Médico legista</t>
  </si>
  <si>
    <t>225109 Médico nefrologista</t>
  </si>
  <si>
    <t>225110 Médico alergista e imunologista</t>
  </si>
  <si>
    <t>225112 Médico neurologista</t>
  </si>
  <si>
    <t>225115 Médico angiologista</t>
  </si>
  <si>
    <t>225118 Médico nutrologista</t>
  </si>
  <si>
    <t>225120 Médico cardiologista</t>
  </si>
  <si>
    <t>225121 Médico oncologista clínico</t>
  </si>
  <si>
    <t>225122 Médico cancerologista pediátrico</t>
  </si>
  <si>
    <t>225124 Médico pediatra</t>
  </si>
  <si>
    <t>225125 Médico clínico</t>
  </si>
  <si>
    <t>225127 Médico pneumologista</t>
  </si>
  <si>
    <t>225130 Médico de família e comunidade</t>
  </si>
  <si>
    <t>225133 Médico psiquiatra</t>
  </si>
  <si>
    <t>225135 Médico dermatologista</t>
  </si>
  <si>
    <t>225136 Médico reumatologista</t>
  </si>
  <si>
    <t>225139 Médico sanitarista</t>
  </si>
  <si>
    <t>225140 Médico do trabalho</t>
  </si>
  <si>
    <t>225142 Médico da estratégia de saúde da família</t>
  </si>
  <si>
    <t>225145 Médico em medicina de tráfego</t>
  </si>
  <si>
    <t>225148 Médico anatomopatologista</t>
  </si>
  <si>
    <t>225150 Médico em medicina intensiva</t>
  </si>
  <si>
    <t>225151 Médico anestesiologista</t>
  </si>
  <si>
    <t>225154 Médico antroposófico</t>
  </si>
  <si>
    <t>225155 Médico endocrinologista e metabologista</t>
  </si>
  <si>
    <t>225160 Médico fisiatra</t>
  </si>
  <si>
    <t>225165 Médico gastroenterologista</t>
  </si>
  <si>
    <t>225170 Médico generalista</t>
  </si>
  <si>
    <t>225175 Médico geneticista</t>
  </si>
  <si>
    <t>225180 Médico geriatra</t>
  </si>
  <si>
    <t>225185 Médico hematologista</t>
  </si>
  <si>
    <t>225195 Médico homeopata</t>
  </si>
  <si>
    <t>225203 Médico em cirurgia vascular</t>
  </si>
  <si>
    <t>225210 Médico cirurgião cardiovascular</t>
  </si>
  <si>
    <t>225215 Médico cirurgião de cabeça e pescoço</t>
  </si>
  <si>
    <t>225220 Médico cirurgião do aparelho digestivo</t>
  </si>
  <si>
    <t>225225 Médico cirurgião geral</t>
  </si>
  <si>
    <t>225230 Médico cirurgião pediátrico</t>
  </si>
  <si>
    <t>225235 Médico cirurgião plástico</t>
  </si>
  <si>
    <t>225240 Médico cirurgião torácico</t>
  </si>
  <si>
    <t>225250 Médico ginecologista e obstetra</t>
  </si>
  <si>
    <t>225255 Médico mastologista</t>
  </si>
  <si>
    <t>225260 Médico neurocirurgião</t>
  </si>
  <si>
    <t>225265 Médico oftalmologista</t>
  </si>
  <si>
    <t>225270 Médico ortopedista e traumatologista</t>
  </si>
  <si>
    <t>225275 Médico otorrinolaringologista</t>
  </si>
  <si>
    <t>225280 Médico coloproctologista</t>
  </si>
  <si>
    <t>225285 Médico urologista</t>
  </si>
  <si>
    <t>225290 Médico cancerologista cirurgíco</t>
  </si>
  <si>
    <t>225295 Médico cirurgião da mão</t>
  </si>
  <si>
    <t>225305 Médico citopatologista</t>
  </si>
  <si>
    <t>225310 Médico em endoscopia</t>
  </si>
  <si>
    <t>225315 Médico em medicina nuclear</t>
  </si>
  <si>
    <t>225320 Médico em radiologia e diagnóstico por imagem</t>
  </si>
  <si>
    <t>225325 Médico patologista</t>
  </si>
  <si>
    <t>225330 Médico radioterapeuta</t>
  </si>
  <si>
    <t>225335 Médico patologista clínico / medicina laboratorial</t>
  </si>
  <si>
    <t>225340 Médico hemoterapeuta</t>
  </si>
  <si>
    <t>225345 Médico hiperbarista</t>
  </si>
  <si>
    <t>225350 Médico neurofisiologista clínico</t>
  </si>
  <si>
    <t>225355 Médico radiologista intervencionista</t>
  </si>
  <si>
    <t>226105 Quiropraxista</t>
  </si>
  <si>
    <t>226110 Osteopata</t>
  </si>
  <si>
    <t>226305 Musicoterapeuta</t>
  </si>
  <si>
    <t>226310 Arteterapeuta</t>
  </si>
  <si>
    <t>226315 Equoterapeuta</t>
  </si>
  <si>
    <t>226320 Naturólogo</t>
  </si>
  <si>
    <t>231105 Professor de nível superior na educação infantil (quatro a seis anos)</t>
  </si>
  <si>
    <t>231110 Professor de nível superior na educação infantil (zero a três anos)</t>
  </si>
  <si>
    <t>231205 Professor da  educação de jovens e adultos do ensino fundamental (primeira a quarta série)</t>
  </si>
  <si>
    <t>231210 Professor de nível superior do ensino fundamental (primeira a quarta série)</t>
  </si>
  <si>
    <t>231305 Professor de ciências exatas e naturais do ensino fundamental</t>
  </si>
  <si>
    <t>231310 Professor de educação artística do ensino fundamental</t>
  </si>
  <si>
    <t>231315 Professor de educação física do ensino fundamental</t>
  </si>
  <si>
    <t>231320 Professor de geografia do ensino fundamental</t>
  </si>
  <si>
    <t>231325 Professor de história do ensino fundamental</t>
  </si>
  <si>
    <t>231330 Professor de língua estrangeira moderna do ensino fundamental</t>
  </si>
  <si>
    <t>231335 Professor de língua portuguesa do ensino fundamental</t>
  </si>
  <si>
    <t>231340 Professor de matemática do ensino fundamental</t>
  </si>
  <si>
    <t>232105 Professor de artes no ensino médio</t>
  </si>
  <si>
    <t>232110 Professor de biologia no ensino médio</t>
  </si>
  <si>
    <t>232115 Professor de disciplinas pedagógicas no ensino médio</t>
  </si>
  <si>
    <t>232120 Professor de educação física no ensino médio</t>
  </si>
  <si>
    <t>232125 Professor de filosofia no ensino médio</t>
  </si>
  <si>
    <t>232130 Professor de física no ensino médio</t>
  </si>
  <si>
    <t>232135 Professor de geografia no ensino médio</t>
  </si>
  <si>
    <t>232140 Professor de história no ensino médio</t>
  </si>
  <si>
    <t>232145 Professor de língua e literatura brasileira no ensino médio</t>
  </si>
  <si>
    <t>232150 Professor de língua estrangeira moderna no ensino médio</t>
  </si>
  <si>
    <t>232155 Professor de matemática no ensino médio</t>
  </si>
  <si>
    <t>232160 Professor de psicologia no ensino médio</t>
  </si>
  <si>
    <t>232165 Professor de química no ensino médio</t>
  </si>
  <si>
    <t>232170 Professor de sociologia no ensino médio</t>
  </si>
  <si>
    <t>233105 Professor da área de meio ambiente</t>
  </si>
  <si>
    <t>233110 Professor de desenho técnico</t>
  </si>
  <si>
    <t>233115 Professor de técnicas agrícolas</t>
  </si>
  <si>
    <t>233120 Professor de técnicas comerciais e secretariais</t>
  </si>
  <si>
    <t>233125 Professor de técnicas de enfermagem</t>
  </si>
  <si>
    <t>233130 Professor de técnicas industriais</t>
  </si>
  <si>
    <t>233135 Professor de tecnologia e cálculo técnico</t>
  </si>
  <si>
    <t>233205 Instrutor de aprendizagem e treinamento agropecuário</t>
  </si>
  <si>
    <t>233210 Instrutor de aprendizagem e treinamento industrial</t>
  </si>
  <si>
    <t>233215 Instrutor de aprendizagem e treinamento comercial</t>
  </si>
  <si>
    <t>233220 Professor instrutor de ensino e aprendizagem agroflorestal</t>
  </si>
  <si>
    <t>233225 Professor instrutor de ensino e aprendizagem em serviços</t>
  </si>
  <si>
    <t>234105 Professor de matemática aplicada (no ensino superior)</t>
  </si>
  <si>
    <t>234110 Professor de matemática pura (no ensino superior)</t>
  </si>
  <si>
    <t>234115 Professor de estatística (no ensino superior)</t>
  </si>
  <si>
    <t>234120 Professor de computação (no ensino superior)</t>
  </si>
  <si>
    <t>234125 Professor de pesquisa operacional (no ensino superior)</t>
  </si>
  <si>
    <t>234205 Professor de física (ensino superior)</t>
  </si>
  <si>
    <t>234210 Professor de química (ensino superior)</t>
  </si>
  <si>
    <t>234215 Professor de astronomia (ensino superior)</t>
  </si>
  <si>
    <t>234305 Professor de arquitetura</t>
  </si>
  <si>
    <t>234310 Professor de engenharia</t>
  </si>
  <si>
    <t>234315 Professor de geofísica</t>
  </si>
  <si>
    <t>234320 Professor de geologia</t>
  </si>
  <si>
    <t>234405 Professor de ciências biológicas do ensino superior</t>
  </si>
  <si>
    <t>234410 Professor de educação física no ensino superior</t>
  </si>
  <si>
    <t>234415 Professor de enfermagem do ensino superior</t>
  </si>
  <si>
    <t>234420 Professor de farmácia e bioquímica</t>
  </si>
  <si>
    <t>234425 Professor de fisioterapia</t>
  </si>
  <si>
    <t>234430 Professor de fonoaudiologia</t>
  </si>
  <si>
    <t>234435 Professor de medicina</t>
  </si>
  <si>
    <t>234440 Professor de medicina veterinária</t>
  </si>
  <si>
    <t>234445 Professor de nutrição</t>
  </si>
  <si>
    <t>234450 Professor de odontologia</t>
  </si>
  <si>
    <t>234455 Professor de terapia ocupacional</t>
  </si>
  <si>
    <t>234460 Professor de zootecnia do ensino superior</t>
  </si>
  <si>
    <t>234505 Professor de ensino superior na área de didática</t>
  </si>
  <si>
    <t>234510 Professor de ensino superior na área de orientação educacional</t>
  </si>
  <si>
    <t>234515 Professor de ensino superior na área de pesquisa educacional</t>
  </si>
  <si>
    <t>234520 Professor de ensino superior na área de prática de ensino</t>
  </si>
  <si>
    <t>234604 Professor de língua alemã</t>
  </si>
  <si>
    <t>234608 Professor de língua italiana</t>
  </si>
  <si>
    <t>234612 Professor de língua francesa</t>
  </si>
  <si>
    <t>234616 Professor de língua inglesa</t>
  </si>
  <si>
    <t>234620 Professor de língua espanhola</t>
  </si>
  <si>
    <t>234624 Professor de língua portuguesa</t>
  </si>
  <si>
    <t>234628 Professor de literatura brasileira</t>
  </si>
  <si>
    <t>234632 Professor de literatura portuguesa</t>
  </si>
  <si>
    <t>234636 Professor de literatura alemã</t>
  </si>
  <si>
    <t>234640 Professor de literatura comparada</t>
  </si>
  <si>
    <t>234644 Professor de literatura espanhola</t>
  </si>
  <si>
    <t>234648 Professor de literatura francesa</t>
  </si>
  <si>
    <t>234652 Professor de literatura inglesa</t>
  </si>
  <si>
    <t>234656 Professor de literatura italiana</t>
  </si>
  <si>
    <t>234660 Professor de literatura de línguas estrangeiras modernas</t>
  </si>
  <si>
    <t>234664 Professor de outras línguas e literaturas</t>
  </si>
  <si>
    <t>234668 Professor de línguas estrangeiras modernas</t>
  </si>
  <si>
    <t>234672 Professor de lingüística e lingüística aplicada</t>
  </si>
  <si>
    <t>234676 Professor de filologia e crítica textual</t>
  </si>
  <si>
    <t>234680 Professor de semiótica</t>
  </si>
  <si>
    <t>234684 Professor de teoria da literatura</t>
  </si>
  <si>
    <t>234705 Professor de antropologia do ensino superior</t>
  </si>
  <si>
    <t>234710 Professor de arquivologia do ensino superior</t>
  </si>
  <si>
    <t>234715 Professor de biblioteconomia do ensino superior</t>
  </si>
  <si>
    <t>234720 Professor de ciência política do ensino superior</t>
  </si>
  <si>
    <t>234725 Professor de comunicação social do ensino superior</t>
  </si>
  <si>
    <t>234730 Professor de direito do ensino superior</t>
  </si>
  <si>
    <t>234735 Professor de filosofia do ensino superior</t>
  </si>
  <si>
    <t>234740 Professor de geografia do ensino superior</t>
  </si>
  <si>
    <t>234745 Professor de história do ensino superior</t>
  </si>
  <si>
    <t>234750 Professor de jornalismo</t>
  </si>
  <si>
    <t>234755 Professor de museologia do ensino superior</t>
  </si>
  <si>
    <t>234760 Professor de psicologia do ensino superior</t>
  </si>
  <si>
    <t>234765 Professor de serviço social do ensino superior</t>
  </si>
  <si>
    <t>234770 Professor de sociologia do ensino superior</t>
  </si>
  <si>
    <t>234805 Professor de economia</t>
  </si>
  <si>
    <t>234810 Professor de administração</t>
  </si>
  <si>
    <t>234815 Professor de contabilidade</t>
  </si>
  <si>
    <t>234905 Professor de artes do espetáculo no ensino superior</t>
  </si>
  <si>
    <t>234910 Professor de artes visuais no ensino superior (artes plásticas e multimídia)</t>
  </si>
  <si>
    <t>234915 Professor de música no ensino superior</t>
  </si>
  <si>
    <t>239205 Professor de alunos com deficiência auditiva e surdos</t>
  </si>
  <si>
    <t>239210 Professor de alunos com deficiência física</t>
  </si>
  <si>
    <t>239215 Professor de alunos com deficiência mental</t>
  </si>
  <si>
    <t>239220 Professor de alunos com deficiência múltipla</t>
  </si>
  <si>
    <t>239225 Professor de alunos com deficiência visual</t>
  </si>
  <si>
    <t>239405 Coordenador pedagógico</t>
  </si>
  <si>
    <t>239410 Orientador educacional</t>
  </si>
  <si>
    <t>239415 Pedagogo</t>
  </si>
  <si>
    <t>239420 Professor de técnicas e recursos audiovisuais</t>
  </si>
  <si>
    <t>239425 Psicopedagogo</t>
  </si>
  <si>
    <t>239430 Supervisor de ensino</t>
  </si>
  <si>
    <t>239435 Designer educacional</t>
  </si>
  <si>
    <t>239440 Neuropsicopedagogo clinico</t>
  </si>
  <si>
    <t>239445 Neuropsicopedagogo institucional</t>
  </si>
  <si>
    <t>241005 Advogado</t>
  </si>
  <si>
    <t>241010 Advogado de empresa</t>
  </si>
  <si>
    <t>241015 Advogado (direito civil)</t>
  </si>
  <si>
    <t>241020 Advogado (direito público)</t>
  </si>
  <si>
    <t>241025 Advogado (direito penal)</t>
  </si>
  <si>
    <t>241030 Advogado (áreas especiais)</t>
  </si>
  <si>
    <t>241035 Advogado (direito do trabalho)</t>
  </si>
  <si>
    <t>241040 Consultor jurídico</t>
  </si>
  <si>
    <t>241205 Advogado da união</t>
  </si>
  <si>
    <t>241210 Procurador autárquico</t>
  </si>
  <si>
    <t>241215 Procurador da fazenda nacional</t>
  </si>
  <si>
    <t>241220 Procurador do estado</t>
  </si>
  <si>
    <t>241225 Procurador do município</t>
  </si>
  <si>
    <t>241230 Procurador federal</t>
  </si>
  <si>
    <t>241235 Procurador fundacional</t>
  </si>
  <si>
    <t>241305 Oficial de registro de contratos marítimos</t>
  </si>
  <si>
    <t>241310 Oficial do registro civil de pessoas jurídicas</t>
  </si>
  <si>
    <t>241315 Oficial do registro civil de pessoas naturais</t>
  </si>
  <si>
    <t>241320 Oficial do registro de distribuições</t>
  </si>
  <si>
    <t>241325 Oficial do registro de imóveis</t>
  </si>
  <si>
    <t>241330 Oficial do registro de títulos e documentos</t>
  </si>
  <si>
    <t>241335 Tabelião de notas</t>
  </si>
  <si>
    <t>241340 Tabelião de protestos</t>
  </si>
  <si>
    <t>241405 Conselheiro julgador</t>
  </si>
  <si>
    <t>242205 Procurador da república</t>
  </si>
  <si>
    <t>242210 Procurador de justiça</t>
  </si>
  <si>
    <t>242215 Procurador de justiça militar</t>
  </si>
  <si>
    <t>242220 Procurador do trabalho</t>
  </si>
  <si>
    <t>242225 Procurador regional da república</t>
  </si>
  <si>
    <t>242230 Procurador regional do trabalho</t>
  </si>
  <si>
    <t>242235 Promotor de justiça</t>
  </si>
  <si>
    <t>242240 Subprocurador de justiça militar</t>
  </si>
  <si>
    <t>242245 Subprocurador-geral da república</t>
  </si>
  <si>
    <t>242250 Subprocurador-geral do trabalho</t>
  </si>
  <si>
    <t>242305 Delegado de polícia</t>
  </si>
  <si>
    <t>242405 Defensor público</t>
  </si>
  <si>
    <t>242410 Procurador da assistência judiciária</t>
  </si>
  <si>
    <t>242905 Oficial de inteligência</t>
  </si>
  <si>
    <t>242910 Oficial técnico de inteligência</t>
  </si>
  <si>
    <t>251105 Antropólogo</t>
  </si>
  <si>
    <t>251110 Arqueólogo</t>
  </si>
  <si>
    <t>251115 Cientista político</t>
  </si>
  <si>
    <t>251120 Sociólogo</t>
  </si>
  <si>
    <t>251205 Economista</t>
  </si>
  <si>
    <t>251210 Economista agroindustrial</t>
  </si>
  <si>
    <t>251215 Economista financeiro</t>
  </si>
  <si>
    <t>251220 Economista industrial</t>
  </si>
  <si>
    <t>251225 Economista do setor público</t>
  </si>
  <si>
    <t>251230 Economista ambiental</t>
  </si>
  <si>
    <t>251235 Economista regional e urbano</t>
  </si>
  <si>
    <t>251305 Geógrafo</t>
  </si>
  <si>
    <t>251405 Filósofo</t>
  </si>
  <si>
    <t>251505 Psicólogo educacional</t>
  </si>
  <si>
    <t>251510 Psicólogo clínico</t>
  </si>
  <si>
    <t>251515 Psicólogo do esporte</t>
  </si>
  <si>
    <t>251520 Psicólogo hospitalar</t>
  </si>
  <si>
    <t>251525 Psicólogo jurídico</t>
  </si>
  <si>
    <t>251530 Psicólogo social</t>
  </si>
  <si>
    <t>251535 Psicólogo do trânsito</t>
  </si>
  <si>
    <t>251540 Psicólogo do trabalho</t>
  </si>
  <si>
    <t>251545 Neuropsicólogo</t>
  </si>
  <si>
    <t>251550 Psicanalista</t>
  </si>
  <si>
    <t>251555 Psicólogo acupunturista</t>
  </si>
  <si>
    <t>251605 Assistente social</t>
  </si>
  <si>
    <t>251610 Economista doméstico</t>
  </si>
  <si>
    <t>252105 Administrador</t>
  </si>
  <si>
    <t>252205 Auditor (contadores e afins)</t>
  </si>
  <si>
    <t>252210 Contador</t>
  </si>
  <si>
    <t>252215 Perito contábil</t>
  </si>
  <si>
    <t>252305 Secretária(o) executiva(o)</t>
  </si>
  <si>
    <t>252310 Secretário  bilíngüe</t>
  </si>
  <si>
    <t>252315 Secretária trilíngüe</t>
  </si>
  <si>
    <t>252320 Tecnólogo em secretariado escolar</t>
  </si>
  <si>
    <t>252405 Analista de recursos humanos</t>
  </si>
  <si>
    <t>252505 Administrador de fundos e carteiras de investimento</t>
  </si>
  <si>
    <t>252510 Analista de câmbio</t>
  </si>
  <si>
    <t>252515 Analista de cobrança (instituições financeiras)</t>
  </si>
  <si>
    <t>252525 Analista de crédito (instituições financeiras)</t>
  </si>
  <si>
    <t>252530 Analista de crédito rural</t>
  </si>
  <si>
    <t>252535 Analista de leasing</t>
  </si>
  <si>
    <t>252540 Analista de produtos bancários</t>
  </si>
  <si>
    <t>252545 Analista financeiro (instituições financeiras)</t>
  </si>
  <si>
    <t>252550 Profissional de relações com investidores</t>
  </si>
  <si>
    <t>252605 Gestor em segurança</t>
  </si>
  <si>
    <t>252705 Analista de pcp (programação e controle da produção)</t>
  </si>
  <si>
    <t>252710 Analista de planejamento de materias</t>
  </si>
  <si>
    <t>252715 Analista de logistica</t>
  </si>
  <si>
    <t>252720 Analista de projetos logisticos</t>
  </si>
  <si>
    <t>252725 Analista de gestão de estoque</t>
  </si>
  <si>
    <t>253110 Redator de publicidade</t>
  </si>
  <si>
    <t>253115 Publicitário</t>
  </si>
  <si>
    <t>253120 Diretor de mídia (publicidade)</t>
  </si>
  <si>
    <t>253125 Diretor de arte (publicidade)</t>
  </si>
  <si>
    <t>253130 Diretor de criação</t>
  </si>
  <si>
    <t>253135 Diretor de contas (publicidade)</t>
  </si>
  <si>
    <t>253140 Agenciador de propaganda</t>
  </si>
  <si>
    <t>253205 Gerente de captação (fundos e investimentos institucionais)</t>
  </si>
  <si>
    <t>253210 Gerente de clientes especiais (private)</t>
  </si>
  <si>
    <t>253215 Gerente de contas - pessoa física e jurídica</t>
  </si>
  <si>
    <t>253220 Gerente de grandes contas (corporate)</t>
  </si>
  <si>
    <t>253225 Operador de negócios</t>
  </si>
  <si>
    <t>253305 Corretor de valores, ativos financeiros, mercadorias e derivativos</t>
  </si>
  <si>
    <t>253405 Analista de mídias sociais</t>
  </si>
  <si>
    <t>253410 Influenciador digital</t>
  </si>
  <si>
    <t>254105 Auditor-fiscal da receita federal</t>
  </si>
  <si>
    <t>254110 Técnico da receita federal</t>
  </si>
  <si>
    <t>254205 Auditor-fiscal da previdência social</t>
  </si>
  <si>
    <t>254305 Auditor-fiscal do trabalho</t>
  </si>
  <si>
    <t>254310 Agente de higiene e segurança</t>
  </si>
  <si>
    <t>254405 Fiscal de tributos estadual</t>
  </si>
  <si>
    <t>254410 Fiscal de tributos municipal</t>
  </si>
  <si>
    <t>254415 Técnico de tributos estadual</t>
  </si>
  <si>
    <t>254420 Técnico de tributos municipal</t>
  </si>
  <si>
    <t>254505 Fiscal de atividades urbanas</t>
  </si>
  <si>
    <t>261105 Arquivista pesquisador (jornalismo)</t>
  </si>
  <si>
    <t>261110 Assessor de imprensa</t>
  </si>
  <si>
    <t>261115 Diretor de redação</t>
  </si>
  <si>
    <t>261120 Editor</t>
  </si>
  <si>
    <t>261125 Jornalista</t>
  </si>
  <si>
    <t>261130 Produtor de texto</t>
  </si>
  <si>
    <t>261135 Repórter (exclusive rádio e televisão)</t>
  </si>
  <si>
    <t>261140 Revisor de texto</t>
  </si>
  <si>
    <t>261205 Bibliotecário</t>
  </si>
  <si>
    <t>261210 Documentalista</t>
  </si>
  <si>
    <t>261215 Analista de informações (pesquisador de informações de rede)</t>
  </si>
  <si>
    <t>261305 Arquivista</t>
  </si>
  <si>
    <t>261310 Museólogo</t>
  </si>
  <si>
    <t>261405 Filólogo</t>
  </si>
  <si>
    <t>261410 Intérprete</t>
  </si>
  <si>
    <t>261415 Lingüista</t>
  </si>
  <si>
    <t>261420 Tradutor</t>
  </si>
  <si>
    <t>261425 Intérprete de língua de sinais</t>
  </si>
  <si>
    <t>261430 Audiodescritor</t>
  </si>
  <si>
    <t>261505 Autor-roteirista</t>
  </si>
  <si>
    <t>261510 Crítico</t>
  </si>
  <si>
    <t>261515 Escritor de ficção</t>
  </si>
  <si>
    <t>261520 Escritor de não ficção</t>
  </si>
  <si>
    <t>261525 Poeta</t>
  </si>
  <si>
    <t>261530 Redator de textos técnicos</t>
  </si>
  <si>
    <t>261605 Editor de jornal</t>
  </si>
  <si>
    <t>261610 Editor de livro</t>
  </si>
  <si>
    <t>261615 Editor de mídia eletrônica</t>
  </si>
  <si>
    <t>261620 Editor de revista</t>
  </si>
  <si>
    <t>261625 Editor de revista científica</t>
  </si>
  <si>
    <t>261705 Âncora de mídias audiovisuais</t>
  </si>
  <si>
    <t>261710 Comentarista de mídias audiovisuais</t>
  </si>
  <si>
    <t>261715 Locutor de mídias audiovisuais</t>
  </si>
  <si>
    <t>261730 Repórter de mídias audiovisuais</t>
  </si>
  <si>
    <t>261805 Fotógrafo</t>
  </si>
  <si>
    <t>261810 Fotógrafo publicitário</t>
  </si>
  <si>
    <t>261815 Fotógrafo retratista</t>
  </si>
  <si>
    <t>261820 Repórter fotográfico</t>
  </si>
  <si>
    <t>261905 Continuista</t>
  </si>
  <si>
    <t>261910 Assistente de direção (tv)</t>
  </si>
  <si>
    <t>262105 Produtor cultural</t>
  </si>
  <si>
    <t>262110 Produtor cinematográfico</t>
  </si>
  <si>
    <t>262115 Produtor de rádio</t>
  </si>
  <si>
    <t>262120 Produtor de teatro</t>
  </si>
  <si>
    <t>262125 Produtor de televisão</t>
  </si>
  <si>
    <t>262130 Tecnólogo em produção fonográfica</t>
  </si>
  <si>
    <t>262135 Tecnólogo em produção audiovisual</t>
  </si>
  <si>
    <t>262205 Diretor de cinema</t>
  </si>
  <si>
    <t>262210 Diretor de programas de rádio</t>
  </si>
  <si>
    <t>262215 Diretor de programas de televisão</t>
  </si>
  <si>
    <t>262220 Diretor teatral</t>
  </si>
  <si>
    <t>262225 Diretor de programação</t>
  </si>
  <si>
    <t>262230 Diretor de produção</t>
  </si>
  <si>
    <t>262235 Diretor artistíco</t>
  </si>
  <si>
    <t>262305 Cenógrafo carnavalesco e festas populares</t>
  </si>
  <si>
    <t>262310 Cenógrafo de cinema</t>
  </si>
  <si>
    <t>262315 Cenógrafo de eventos</t>
  </si>
  <si>
    <t>262320 Cenógrafo de teatro</t>
  </si>
  <si>
    <t>262325 Cenógrafo de tv</t>
  </si>
  <si>
    <t>262330 Diretor de arte</t>
  </si>
  <si>
    <t>262405 Artista (artes visuais)</t>
  </si>
  <si>
    <t>262410 Desenhista industrial gráfico (designer gráfico)</t>
  </si>
  <si>
    <t>262415 Conservador-restaurador de bens  culturais</t>
  </si>
  <si>
    <t>262420 Desenhista industrial de produto (designer de produto)</t>
  </si>
  <si>
    <t>262425 Desenhista industrial de produto de moda (designer de moda)</t>
  </si>
  <si>
    <t>262505 Ator</t>
  </si>
  <si>
    <t>262605 Compositor</t>
  </si>
  <si>
    <t>262610 Músico arranjador</t>
  </si>
  <si>
    <t>262615 Músico regente</t>
  </si>
  <si>
    <t>262620 Musicólogo</t>
  </si>
  <si>
    <t>262705 Músico intérprete cantor</t>
  </si>
  <si>
    <t>262710 Músico intérprete instrumentista</t>
  </si>
  <si>
    <t>262805 Assistente de coreografia</t>
  </si>
  <si>
    <t>262810 Bailarino (exceto danças populares)</t>
  </si>
  <si>
    <t>262815 Coreógrafo</t>
  </si>
  <si>
    <t>262820 Dramaturgo de dança</t>
  </si>
  <si>
    <t>262825 Ensaiador de dança</t>
  </si>
  <si>
    <t>262830 Professor de dança</t>
  </si>
  <si>
    <t>262905 Decorador de interiores de nível superior</t>
  </si>
  <si>
    <t>263105 Ministro de culto religioso</t>
  </si>
  <si>
    <t>263110 Missionário</t>
  </si>
  <si>
    <t>263115 Teólogo</t>
  </si>
  <si>
    <t>271105 Chefe de cozinha</t>
  </si>
  <si>
    <t>271110 Tecnólogo em gastronomia</t>
  </si>
  <si>
    <t>300105 Técnico em mecatrônica - automação da manufatura</t>
  </si>
  <si>
    <t>300110 Técnico em mecatrônica - robótica</t>
  </si>
  <si>
    <t>300305 Técnico em eletromecânica</t>
  </si>
  <si>
    <t>301105 Técnico de laboratório industrial</t>
  </si>
  <si>
    <t>301110 Técnico de laboratório de análises físico-químicas (materiais de construção)</t>
  </si>
  <si>
    <t>301115 Técnico químico de petróleo</t>
  </si>
  <si>
    <t>301205 Técnico de apoio à bioengenharia</t>
  </si>
  <si>
    <t>311105 Técnico químico</t>
  </si>
  <si>
    <t>311110 Técnico de celulose e papel</t>
  </si>
  <si>
    <t>311115 Técnico em curtimento</t>
  </si>
  <si>
    <t>311205 Técnico em petroquímica</t>
  </si>
  <si>
    <t>311305 Técnico em materiais, produtos cerâmicos e vidros</t>
  </si>
  <si>
    <t>311405 Técnico em borracha</t>
  </si>
  <si>
    <t>311410 Técnico em plástico</t>
  </si>
  <si>
    <t>311505 Técnico de controle de meio ambiente</t>
  </si>
  <si>
    <t>311510 Técnico de meteorologia</t>
  </si>
  <si>
    <t>311515 Técnico de utilidade (produção e distribuição de vapor, gases, óleos, combustíveis, energia)</t>
  </si>
  <si>
    <t>311520 Técnico em tratamento de efluentes</t>
  </si>
  <si>
    <t>311605 Técnico têxtil</t>
  </si>
  <si>
    <t>311610 Técnico têxtil (tratamentos químicos)</t>
  </si>
  <si>
    <t>311615 Técnico têxtil de fiação</t>
  </si>
  <si>
    <t>311620 Técnico têxtil de malharia</t>
  </si>
  <si>
    <t>311625 Técnico têxtil de tecelagem</t>
  </si>
  <si>
    <t>311705 Colorista de papel</t>
  </si>
  <si>
    <t>311710 Colorista têxtil</t>
  </si>
  <si>
    <t>311715 Preparador de tintas</t>
  </si>
  <si>
    <t>311720 Preparador de tintas (fábrica de tecidos)</t>
  </si>
  <si>
    <t>311725 Tingidor de couros e peles</t>
  </si>
  <si>
    <t>312105 Técnico de obras civis</t>
  </si>
  <si>
    <t>312205 Técnico de estradas</t>
  </si>
  <si>
    <t>312210 Técnico de saneamento</t>
  </si>
  <si>
    <t>312305 Técnico em agrimensura</t>
  </si>
  <si>
    <t>312310 Técnico em geodésia e cartografia</t>
  </si>
  <si>
    <t>312315 Técnico em hidrografia</t>
  </si>
  <si>
    <t>312320 Topógrafo</t>
  </si>
  <si>
    <t>313105 Eletrotécnico</t>
  </si>
  <si>
    <t>313110 Eletrotécnico (produção de energia)</t>
  </si>
  <si>
    <t>313115 Eletrotécnico na fabricação, montagem e instalação de máquinas e equipamentos</t>
  </si>
  <si>
    <t>313120 Técnico de manutenção elétrica</t>
  </si>
  <si>
    <t>313125 Técnico de manutenção elétrica de máquina</t>
  </si>
  <si>
    <t>313130 Técnico eletricista</t>
  </si>
  <si>
    <t>313205 Técnico de manutenção eletrônica</t>
  </si>
  <si>
    <t>313210 Técnico de manutenção eletrônica (circuitos de máquinas com comando numérico)</t>
  </si>
  <si>
    <t>313215 Técnico eletrônico</t>
  </si>
  <si>
    <t>313220 Técnico em manutenção de equipamentos de informática</t>
  </si>
  <si>
    <t>313305 Técnico de comunicação de dados</t>
  </si>
  <si>
    <t>313310 Técnico de rede (telecomunicações)</t>
  </si>
  <si>
    <t>313315 Técnico de telecomunicações (telefonia)</t>
  </si>
  <si>
    <t>313320 Técnico de transmissão (telecomunicações)</t>
  </si>
  <si>
    <t>313405 Técnico em calibração</t>
  </si>
  <si>
    <t>313410 Técnico em instrumentação</t>
  </si>
  <si>
    <t>313415 Encarregado de manutenção de instrumentos de controle, medição e similares</t>
  </si>
  <si>
    <t>313505 Técnico em fotônica</t>
  </si>
  <si>
    <t>314105 Técnico em mecânica de precisão</t>
  </si>
  <si>
    <t>314110 Técnico mecânico</t>
  </si>
  <si>
    <t>314115 Técnico mecânico (calefação, ventilação e refrigeração)</t>
  </si>
  <si>
    <t>314120 Técnico mecânico (máquinas)</t>
  </si>
  <si>
    <t>314125 Técnico mecânico (motores)</t>
  </si>
  <si>
    <t>314205 Técnico mecânico na fabricação de ferramentas</t>
  </si>
  <si>
    <t>314210 Técnico mecânico na manutenção de ferramentas</t>
  </si>
  <si>
    <t>314305 Técnico em automobilística</t>
  </si>
  <si>
    <t>314310 Técnico mecânico (aeronaves)</t>
  </si>
  <si>
    <t>314315 Técnico mecânico (embarcações)</t>
  </si>
  <si>
    <t>314405 Técnico de manutenção de sistemas e instrumentos</t>
  </si>
  <si>
    <t>314410 Técnico em manutenção de máquinas</t>
  </si>
  <si>
    <t>314610 Técnico em caldeiraria</t>
  </si>
  <si>
    <t>314615 Técnico em estruturas metálicas</t>
  </si>
  <si>
    <t>314620 Técnico em soldagem</t>
  </si>
  <si>
    <t>314625 Tecnólogo em soldagem</t>
  </si>
  <si>
    <t>314705 Técnico de acabamento em siderurgia</t>
  </si>
  <si>
    <t>314710 Técnico de aciaria em siderurgia</t>
  </si>
  <si>
    <t>314715 Técnico de fundição em siderurgia</t>
  </si>
  <si>
    <t>314720 Técnico de laminação em siderurgia</t>
  </si>
  <si>
    <t>314725 Técnico de redução na siderurgia (primeira fusão)</t>
  </si>
  <si>
    <t>314730 Técnico de refratário em siderurgia</t>
  </si>
  <si>
    <t>314805 Inspetor de equipamentos</t>
  </si>
  <si>
    <t>314810 Inspetor de fabricação</t>
  </si>
  <si>
    <t>314815 Inspetor de ensaios não destrutivos</t>
  </si>
  <si>
    <t>314825 Inspetor de dutos</t>
  </si>
  <si>
    <t>314830 Inspetor de controle dimensional</t>
  </si>
  <si>
    <t>314835 Inspetor de pintura</t>
  </si>
  <si>
    <t>314840 Inspetor de manutenção</t>
  </si>
  <si>
    <t>314845 Inspetor de soldagem</t>
  </si>
  <si>
    <t>316105 Técnico em geofísica</t>
  </si>
  <si>
    <t>316110 Técnico em geologia</t>
  </si>
  <si>
    <t>316115 Técnico em geoquímica</t>
  </si>
  <si>
    <t>316120 Técnico em geotecnia</t>
  </si>
  <si>
    <t>316305 Técnico de mineração</t>
  </si>
  <si>
    <t>316310 Técnico de mineração (óleo e petróleo)</t>
  </si>
  <si>
    <t>316315 Técnico em processamento mineral (exceto petróleo)</t>
  </si>
  <si>
    <t>316320 Técnico em pesquisa mineral</t>
  </si>
  <si>
    <t>316325 Técnico de produção em refino de petróleo</t>
  </si>
  <si>
    <t>316330 Técnico em planejamento de lavra de minas</t>
  </si>
  <si>
    <t>316335 Desincrustador (poços de petróleo)</t>
  </si>
  <si>
    <t>316340 Cimentador (poços de petróleo)</t>
  </si>
  <si>
    <t>317105 Desenvolvedor web (técnico)</t>
  </si>
  <si>
    <t>317110 Desenvolvedor de sistemas de tecnologia da informação (técnico)</t>
  </si>
  <si>
    <t>317115 Programador de máquinas - ferramenta com comando numérico</t>
  </si>
  <si>
    <t>317120 Desenvolvedor de multimídia</t>
  </si>
  <si>
    <t>317205 Operador de computador</t>
  </si>
  <si>
    <t>317210 Técnico de suporte ao usuário de tecnologia da informação</t>
  </si>
  <si>
    <t>318005 Desenhista técnico</t>
  </si>
  <si>
    <t>318010 Desenhista copista</t>
  </si>
  <si>
    <t>318015 Desenhista detalhista</t>
  </si>
  <si>
    <t>318105 Desenhista técnico (arquitetura)</t>
  </si>
  <si>
    <t>318110 Desenhista técnico (cartografia)</t>
  </si>
  <si>
    <t>318115 Desenhista técnico (construção civil)</t>
  </si>
  <si>
    <t>318120 Desenhista técnico (instalações hidrossanitárias)</t>
  </si>
  <si>
    <t>318205 Desenhista técnico mecânico</t>
  </si>
  <si>
    <t>318210 Desenhista técnico aeronáutico</t>
  </si>
  <si>
    <t>318215 Desenhista técnico naval</t>
  </si>
  <si>
    <t>318305 Desenhista técnico (eletricidade e eletrônica)</t>
  </si>
  <si>
    <t>318310 Desenhista técnico (calefação, ventilação e refrigeração)</t>
  </si>
  <si>
    <t>318405 Desenhista técnico (artes gráficas)</t>
  </si>
  <si>
    <t>318410 Desenhista técnico (ilustrações artísticas)</t>
  </si>
  <si>
    <t>318415 Desenhista técnico (ilustrações técnicas)</t>
  </si>
  <si>
    <t>318420 Desenhista técnico (indústria têxtil)</t>
  </si>
  <si>
    <t>318425 Desenhista técnico (mobiliário)</t>
  </si>
  <si>
    <t>318430 Desenhista técnico de embalagens, maquetes e leiautes</t>
  </si>
  <si>
    <t>318505 Desenhista projetista de arquitetura</t>
  </si>
  <si>
    <t>318510 Desenhista projetista de construção civil</t>
  </si>
  <si>
    <t>318605 Desenhista projetista de máquinas</t>
  </si>
  <si>
    <t>318610 Desenhista projetista mecânico</t>
  </si>
  <si>
    <t>318705 Desenhista projetista de eletricidade</t>
  </si>
  <si>
    <t>318710 Desenhista projetista eletrônico</t>
  </si>
  <si>
    <t>318805 Projetista de móveis</t>
  </si>
  <si>
    <t>318810 Modelista de roupas</t>
  </si>
  <si>
    <t>318815 Modelista de calçados</t>
  </si>
  <si>
    <t>319105 Técnico em calçados e artefatos de couro</t>
  </si>
  <si>
    <t>319110 Técnico em confecções do vestuário</t>
  </si>
  <si>
    <t>319205 Técnico do mobiliário</t>
  </si>
  <si>
    <t>320105 Técnico em bioterismo</t>
  </si>
  <si>
    <t>320110 Técnico em histologia</t>
  </si>
  <si>
    <t>321105 Técnico agrícola</t>
  </si>
  <si>
    <t>321110 Técnico agropecuário</t>
  </si>
  <si>
    <t>321205 Técnico em madeira</t>
  </si>
  <si>
    <t>321210 Técnico florestal</t>
  </si>
  <si>
    <t>321305 Técnico em piscicultura</t>
  </si>
  <si>
    <t>321310 Técnico em carcinicultura</t>
  </si>
  <si>
    <t>321315 Técnico em mitilicultura</t>
  </si>
  <si>
    <t>321320 Técnico em ranicultura</t>
  </si>
  <si>
    <t>322105 Técnico em acupuntura</t>
  </si>
  <si>
    <t>322110 Podólogo</t>
  </si>
  <si>
    <t>322115 Técnico em quiropraxia</t>
  </si>
  <si>
    <t>322120 Massoterapeuta</t>
  </si>
  <si>
    <t>322125 Terapeuta holístico</t>
  </si>
  <si>
    <t>322130 Esteticista</t>
  </si>
  <si>
    <t>322135 Doula</t>
  </si>
  <si>
    <t>322205 Técnico de enfermagem</t>
  </si>
  <si>
    <t>322210 Técnico de enfermagem de terapia intensiva</t>
  </si>
  <si>
    <t>322215 Técnico de enfermagem do trabalho</t>
  </si>
  <si>
    <t>322220 Técnico de enfermagem psiquiátrica</t>
  </si>
  <si>
    <t>322225 Instrumentador cirúrgico</t>
  </si>
  <si>
    <t>322230 Auxiliar de enfermagem</t>
  </si>
  <si>
    <t>322235 Auxiliar de enfermagem do trabalho</t>
  </si>
  <si>
    <t>322240 Auxiliar de saúde (navegação marítima)</t>
  </si>
  <si>
    <t>322245 Técnico de enfermagem da estratégia de saúde da família</t>
  </si>
  <si>
    <t>322250 Auxiliar de enfermagem da estratégia de saúde da família</t>
  </si>
  <si>
    <t>322255 Técnico em agente comunitário de saúde</t>
  </si>
  <si>
    <t>322305 Técnico em óptica e optometria</t>
  </si>
  <si>
    <t>322405 Técnico em saúde bucal</t>
  </si>
  <si>
    <t>322410 Protético dentário</t>
  </si>
  <si>
    <t>322415 Auxiliar em saúde bucal</t>
  </si>
  <si>
    <t>322420 Auxiliar de prótese dentária</t>
  </si>
  <si>
    <t>322425 Técnico em saúde bucal da estratégia de saúde da família</t>
  </si>
  <si>
    <t>322430 Auxiliar em saúde bucal da estratégia de saúde da família</t>
  </si>
  <si>
    <t>322505 Técnico de ortopedia</t>
  </si>
  <si>
    <t>322605 Técnico de imobilização ortopédica</t>
  </si>
  <si>
    <t>323105 Técnico em pecuária</t>
  </si>
  <si>
    <t>324105 Técnico em métodos eletrográficos em encefalografia</t>
  </si>
  <si>
    <t>324110 Técnico em métodos gráficos em cardiologia</t>
  </si>
  <si>
    <t>324115 Técnico em radiologia e imagenologia</t>
  </si>
  <si>
    <t>324120 Tecnólogo em radiologia</t>
  </si>
  <si>
    <t>324125 Tecnólogo oftálmico</t>
  </si>
  <si>
    <t>324130 Técnico em espirometria</t>
  </si>
  <si>
    <t>324135 Técnico em polissonografia</t>
  </si>
  <si>
    <t>324205 Técnico em patologia clínica</t>
  </si>
  <si>
    <t>324215 Citotécnico</t>
  </si>
  <si>
    <t>324220 Técnico em hemoterapia</t>
  </si>
  <si>
    <t>325005 Enólogo</t>
  </si>
  <si>
    <t>325010 Aromista</t>
  </si>
  <si>
    <t>325015 Perfumista</t>
  </si>
  <si>
    <t>325105 Auxiliar técnico em laboratório de farmácia</t>
  </si>
  <si>
    <t>325110 Técnico em laboratório de farmácia</t>
  </si>
  <si>
    <t>325115 Técnico em farmácia</t>
  </si>
  <si>
    <t>325205 Técnico de alimentos</t>
  </si>
  <si>
    <t>325210 Técnico em nutrição e dietética</t>
  </si>
  <si>
    <t>325305 Técnico em biotecnologia</t>
  </si>
  <si>
    <t>325310 Técnico em imunobiológicos</t>
  </si>
  <si>
    <t>328105 Embalsamador</t>
  </si>
  <si>
    <t>328110 Taxidermista</t>
  </si>
  <si>
    <t>331105 Professor de nível médio na educação infantil</t>
  </si>
  <si>
    <t>331110 Auxiliar de desenvolvimento infantil</t>
  </si>
  <si>
    <t>331205 Professor de nível médio no ensino fundamental</t>
  </si>
  <si>
    <t>331305 Professor de nível médio no ensino profissionalizante</t>
  </si>
  <si>
    <t>332105 Professor leigo no ensino fundamental</t>
  </si>
  <si>
    <t>332205 Professor prático no ensino profissionalizante</t>
  </si>
  <si>
    <t>333105 Instrutor de auto-escola</t>
  </si>
  <si>
    <t>333110 Instrutor de cursos livres</t>
  </si>
  <si>
    <t>333115 Professores de cursos livres</t>
  </si>
  <si>
    <t>334105 Inspetor de alunos de escola privada</t>
  </si>
  <si>
    <t>334110 Inspetor de alunos de escola pública</t>
  </si>
  <si>
    <t>334115 Monitor de transporte escolar</t>
  </si>
  <si>
    <t>341105 Piloto comercial (exceto linhas aéreas)</t>
  </si>
  <si>
    <t>341110 Piloto comercial de helicóptero (exceto linhas aéreas)</t>
  </si>
  <si>
    <t>341115 Mecânico de vôo</t>
  </si>
  <si>
    <t>341120 Piloto agrícola</t>
  </si>
  <si>
    <t>341205 Contramestre de cabotagem</t>
  </si>
  <si>
    <t>341210 Mestre de cabotagem</t>
  </si>
  <si>
    <t>341215 Mestre fluvial</t>
  </si>
  <si>
    <t>341220 Patrão de pesca de alto-mar</t>
  </si>
  <si>
    <t>341225 Patrão de pesca na navegação interior</t>
  </si>
  <si>
    <t>341230 Piloto fluvial</t>
  </si>
  <si>
    <t>341235 Técnico em sinalização náutica</t>
  </si>
  <si>
    <t>341240 Técnicos em manobras em equipamentos de convés</t>
  </si>
  <si>
    <t>341245 Técnico em sinais navais</t>
  </si>
  <si>
    <t>341250 Auxiliar técnico de sinalização nautica</t>
  </si>
  <si>
    <t>341305 Condutor maquinista motorista fluvial</t>
  </si>
  <si>
    <t>341310 Condutor de máquinas</t>
  </si>
  <si>
    <t>341315 Eletricista de bordo</t>
  </si>
  <si>
    <t>341320 Condutor de máquinas (bombeador)</t>
  </si>
  <si>
    <t>341325 Condutor de máquinas (mecânico)</t>
  </si>
  <si>
    <t>342105 Analista de transporte em comércio exterior</t>
  </si>
  <si>
    <t>342110 Operador de transporte multimodal</t>
  </si>
  <si>
    <t>342115 Controlador de serviços de máquinas e veículos</t>
  </si>
  <si>
    <t>342120 Afretador</t>
  </si>
  <si>
    <t>342125 Tecnólogo em logística de transporte</t>
  </si>
  <si>
    <t>342205 Ajudante de despachante aduaneiro</t>
  </si>
  <si>
    <t>342210 Despachante aduaneiro</t>
  </si>
  <si>
    <t>342215 Analista de desembaraço aduaneiro</t>
  </si>
  <si>
    <t>342305 Chefe de serviço de transporte rodoviário (passageiros e cargas)</t>
  </si>
  <si>
    <t>342310 Inspetor de serviços de transportes rodoviários (passageiros e cargas)</t>
  </si>
  <si>
    <t>342315 Supervisor de carga e descarga</t>
  </si>
  <si>
    <t>342405 Agente de estação (ferrovia e metrô)</t>
  </si>
  <si>
    <t>342410 Operador de centro de controle (ferrovia e metrô)</t>
  </si>
  <si>
    <t>342505 Controlador de tráfego aéreo</t>
  </si>
  <si>
    <t>342510 Despachante operacional de vôo</t>
  </si>
  <si>
    <t>342515 Fiscal de aviação civil (fac)</t>
  </si>
  <si>
    <t>342530 Inspetor de aviação civil</t>
  </si>
  <si>
    <t>342535 Operador de atendimento aeroviário</t>
  </si>
  <si>
    <t>342540 Supervisor da administração de aeroportos</t>
  </si>
  <si>
    <t>342545 Supervisor de empresa aérea em aeroportos</t>
  </si>
  <si>
    <t>342550 Agente de proteção de aviação civil</t>
  </si>
  <si>
    <t>342555 Fiscal de pista de aeroporto</t>
  </si>
  <si>
    <t>342560 Operador de rampa ( transporte aéreo)</t>
  </si>
  <si>
    <t>342605 Chefe de estação portuária</t>
  </si>
  <si>
    <t>342610 Supervisor de operações portuárias</t>
  </si>
  <si>
    <t>351105 Técnico de contabilidade</t>
  </si>
  <si>
    <t>351110 Chefe de contabilidade (técnico)</t>
  </si>
  <si>
    <t>351115 Consultor contábil (técnico)</t>
  </si>
  <si>
    <t>351305 Técnico em administração</t>
  </si>
  <si>
    <t>351310 Técnico em administração de comércio exterior</t>
  </si>
  <si>
    <t>351315 Agente de recrutamento e seleção</t>
  </si>
  <si>
    <t>351405 Escrevente</t>
  </si>
  <si>
    <t>351410 Escrivão judicial</t>
  </si>
  <si>
    <t>351415 Escrivão extra - judicial</t>
  </si>
  <si>
    <t>351420 Escrivão de polícia</t>
  </si>
  <si>
    <t>351425 Oficial de justiça</t>
  </si>
  <si>
    <t>351430 Auxiliar de serviços jurídicos</t>
  </si>
  <si>
    <t>351435 Mediador de conflitos</t>
  </si>
  <si>
    <t>351440 Árbitro extrajudicial</t>
  </si>
  <si>
    <t>351505 Técnico em secretariado</t>
  </si>
  <si>
    <t>351510 Taquígrafo</t>
  </si>
  <si>
    <t>351515 Estenotipista</t>
  </si>
  <si>
    <t>351605 Técnico em segurança do trabalho</t>
  </si>
  <si>
    <t>351610 Técnico em higiene ocupacional</t>
  </si>
  <si>
    <t>351705 Analista de seguros (técnico)</t>
  </si>
  <si>
    <t>351710 Analista de sinistros</t>
  </si>
  <si>
    <t>351715 Assistente comercial de seguros</t>
  </si>
  <si>
    <t>351720 Assistente técnico de seguros</t>
  </si>
  <si>
    <t>351725 Inspetor de risco</t>
  </si>
  <si>
    <t>351730 Inspetor de sinistros</t>
  </si>
  <si>
    <t>351735 Técnico de resseguros</t>
  </si>
  <si>
    <t>351740 Técnico de seguros</t>
  </si>
  <si>
    <t>351805 Detetive profissional</t>
  </si>
  <si>
    <t>351810 Investigador de polícia</t>
  </si>
  <si>
    <t>351815 Papiloscopista policial</t>
  </si>
  <si>
    <t>351905 Agente de inteligência</t>
  </si>
  <si>
    <t>351910 Agente técnico de inteligência</t>
  </si>
  <si>
    <t>352205 Agente de defesa ambiental</t>
  </si>
  <si>
    <t>352210 Agente de saúde pública</t>
  </si>
  <si>
    <t>352305 Metrologista</t>
  </si>
  <si>
    <t>352310 Agente fiscal de qualidade</t>
  </si>
  <si>
    <t>352315 Agente fiscal metrológico</t>
  </si>
  <si>
    <t>352320 Agente fiscal têxtil</t>
  </si>
  <si>
    <t>352405 Agente de direitos autorais</t>
  </si>
  <si>
    <t>352410 Avaliador de produtos dos meios de comunicação</t>
  </si>
  <si>
    <t>352420 Técnico em direitos autorais</t>
  </si>
  <si>
    <t>353205 Técnico de operações e serviços bancários - câmbio</t>
  </si>
  <si>
    <t>353210 Técnico de operações e serviços bancários - crédito imobiliário</t>
  </si>
  <si>
    <t>353215 Técnico de operações e serviços bancários - crédito rural</t>
  </si>
  <si>
    <t>353220 Técnico de operações e serviços bancários - leasing</t>
  </si>
  <si>
    <t>353225 Técnico de operações e serviços bancários - renda fixa e variável</t>
  </si>
  <si>
    <t>353230 Tesoureiro de banco</t>
  </si>
  <si>
    <t>353235 Chefe de serviços bancários</t>
  </si>
  <si>
    <t>354120 Agente de vendas de serviços</t>
  </si>
  <si>
    <t>354125 Assistente de vendas</t>
  </si>
  <si>
    <t>354130 Promotor de vendas especializado</t>
  </si>
  <si>
    <t>354135 Técnico de vendas</t>
  </si>
  <si>
    <t>354140 Técnico em atendimento e vendas</t>
  </si>
  <si>
    <t>354145 Vendedor pracista</t>
  </si>
  <si>
    <t>354150 Propagandista de produtos famacêuticos</t>
  </si>
  <si>
    <t>354205 Comprador</t>
  </si>
  <si>
    <t>354210 Supervisor de compras</t>
  </si>
  <si>
    <t>354305 Analista de exportação e importação</t>
  </si>
  <si>
    <t>354405 Leiloeiro</t>
  </si>
  <si>
    <t>354410 Avaliador de imóveis</t>
  </si>
  <si>
    <t>354415 Avaliador de bens móveis</t>
  </si>
  <si>
    <t>354505 Corretor de seguros</t>
  </si>
  <si>
    <t>354605 Corretor de imóveis</t>
  </si>
  <si>
    <t>354610 Corretor de grãos</t>
  </si>
  <si>
    <t>354705 Representante comercial autônomo</t>
  </si>
  <si>
    <t>354805 Técnico em turismo</t>
  </si>
  <si>
    <t>354810 Operador de turismo</t>
  </si>
  <si>
    <t>354815 Agente de viagem</t>
  </si>
  <si>
    <t>354820 Organizador de evento</t>
  </si>
  <si>
    <t>354825 Cerimonialista</t>
  </si>
  <si>
    <t>371105 Auxiliar de biblioteca</t>
  </si>
  <si>
    <t>371110 Técnico em biblioteconomia</t>
  </si>
  <si>
    <t>371205 Colecionador de selos e moedas</t>
  </si>
  <si>
    <t>371210 Técnico em museologia</t>
  </si>
  <si>
    <t>371305 Técnico em programação visual</t>
  </si>
  <si>
    <t>371310 Técnico gráfico</t>
  </si>
  <si>
    <t>371405 Recreador de acantonamento</t>
  </si>
  <si>
    <t>371410 Recreador</t>
  </si>
  <si>
    <t>372105 Diretor de fotografia</t>
  </si>
  <si>
    <t>372110 Iluminador (televisão)</t>
  </si>
  <si>
    <t>372115 Operador de câmera de televisão</t>
  </si>
  <si>
    <t>372205 Operador de rede de teleprocessamento</t>
  </si>
  <si>
    <t>372210 Radiotelegrafista</t>
  </si>
  <si>
    <t>373105 Operador de mídia audiovisual</t>
  </si>
  <si>
    <t>373130 Técnico de sistemas audiovisuais</t>
  </si>
  <si>
    <t>373135 Operador de controle mestre</t>
  </si>
  <si>
    <t>373140 Coordenador de programação</t>
  </si>
  <si>
    <t>373145 Assistente de operações audiovisuais</t>
  </si>
  <si>
    <t>373220 Supervisor técnico operacional de sistemas de televisão e produtoras de vídeo</t>
  </si>
  <si>
    <t>373225 Supervisor de operações (mídias audiovisuais)</t>
  </si>
  <si>
    <t>373230 Supervisor técnico (mídias audiovisuais)</t>
  </si>
  <si>
    <t>374105 Técnico em gravação de áudio</t>
  </si>
  <si>
    <t>374110 Técnico em instalação de equipamentos de áudio</t>
  </si>
  <si>
    <t>374115 Técnico em masterização de áudio</t>
  </si>
  <si>
    <t>374120 Projetista de som</t>
  </si>
  <si>
    <t>374125 Técnico em sonorização</t>
  </si>
  <si>
    <t>374130 Técnico em mixagem de áudio</t>
  </si>
  <si>
    <t>374135 Projetista de sistemas de áudio</t>
  </si>
  <si>
    <t>374140 Microfonista</t>
  </si>
  <si>
    <t>374145 Dj (disc jockey)</t>
  </si>
  <si>
    <t>374150 Sonoplasta</t>
  </si>
  <si>
    <t>374155 Analista musical</t>
  </si>
  <si>
    <t>374205 Cenotécnico (cinema, vídeo, televisão, teatro e espetáculos)</t>
  </si>
  <si>
    <t>374210 Maquinista de cinema e vídeo</t>
  </si>
  <si>
    <t>374215 Maquinista de teatro e espetáculos</t>
  </si>
  <si>
    <t>374305 Operador de projetor cinematográfico</t>
  </si>
  <si>
    <t>374310 Operador-mantenedor de projetor cinematográfico</t>
  </si>
  <si>
    <t>374405 Editor de mídia audiovisual</t>
  </si>
  <si>
    <t>374410 Finalizador de filmes</t>
  </si>
  <si>
    <t>374415 Finalizador de vídeo</t>
  </si>
  <si>
    <t>374420 Montador de filmes</t>
  </si>
  <si>
    <t>374425 Diretor de imagens (tv)</t>
  </si>
  <si>
    <t>375105 Designer de interiores</t>
  </si>
  <si>
    <t>375110 Designer de vitrines</t>
  </si>
  <si>
    <t>375115 Visual merchandiser</t>
  </si>
  <si>
    <t>375120 Decorador de eventos</t>
  </si>
  <si>
    <t>375125 Produtor de moda</t>
  </si>
  <si>
    <t>375130 Profissional de organização (personal organizer)</t>
  </si>
  <si>
    <t>376105 Dançarino tradicional</t>
  </si>
  <si>
    <t>376110 Dançarino popular</t>
  </si>
  <si>
    <t>376205 Acrobata</t>
  </si>
  <si>
    <t>376210 Artista aéreo</t>
  </si>
  <si>
    <t>376215 Artista de circo (outros)</t>
  </si>
  <si>
    <t>376220 Contorcionista</t>
  </si>
  <si>
    <t>376225 Domador de animais (circense)</t>
  </si>
  <si>
    <t>376230 Equilibrista</t>
  </si>
  <si>
    <t>376235 Mágico</t>
  </si>
  <si>
    <t>376240 Malabarista</t>
  </si>
  <si>
    <t>376245 Palhaço</t>
  </si>
  <si>
    <t>376250 Titeriteiro</t>
  </si>
  <si>
    <t>376255 Trapezista</t>
  </si>
  <si>
    <t>376305 Apresentador de eventos</t>
  </si>
  <si>
    <t>376310 Apresentador de festas populares</t>
  </si>
  <si>
    <t>376315 Apresentador de programas de rádio</t>
  </si>
  <si>
    <t>376320 Apresentador de programas de televisão</t>
  </si>
  <si>
    <t>376325 Apresentador de circo</t>
  </si>
  <si>
    <t>376330 Mestre de cerimonias</t>
  </si>
  <si>
    <t>376405 Modelo artístico</t>
  </si>
  <si>
    <t>376410 Modelo de modas</t>
  </si>
  <si>
    <t>376415 Modelo publicitário</t>
  </si>
  <si>
    <t>377105 Atleta profissional (outras modalidades)</t>
  </si>
  <si>
    <t>377110 Atleta profissional de futebol</t>
  </si>
  <si>
    <t>377115 Atleta profissional de golfe</t>
  </si>
  <si>
    <t>377120 Atleta profissional de luta</t>
  </si>
  <si>
    <t>377125 Atleta profissional de tênis</t>
  </si>
  <si>
    <t>377130 Jóquei</t>
  </si>
  <si>
    <t>377135 Piloto de competição automobilística</t>
  </si>
  <si>
    <t>377140 Profissional de atletismo</t>
  </si>
  <si>
    <t>377145 Pugilista</t>
  </si>
  <si>
    <t>377205 Árbitro desportivo</t>
  </si>
  <si>
    <t>377210 Árbitro de atletismo</t>
  </si>
  <si>
    <t>377215 Árbitro de basquete</t>
  </si>
  <si>
    <t>377220 Árbitro de futebol</t>
  </si>
  <si>
    <t>377225 Árbitro de futebol de salão</t>
  </si>
  <si>
    <t>377230 Árbitro de judô</t>
  </si>
  <si>
    <t>377235 Árbitro de karatê</t>
  </si>
  <si>
    <t>377240 Árbitro de poló aquático</t>
  </si>
  <si>
    <t>377245 Árbitro de vôlei</t>
  </si>
  <si>
    <t>391105 Cronoanalista</t>
  </si>
  <si>
    <t>391110 Cronometrista</t>
  </si>
  <si>
    <t>391115 Controlador de entrada e saída</t>
  </si>
  <si>
    <t>391120 Planejista</t>
  </si>
  <si>
    <t>391125 Técnico de planejamento de produção</t>
  </si>
  <si>
    <t>391130 Técnico de planejamento e programação da manutenção</t>
  </si>
  <si>
    <t>391135 Técnico de matéria-prima e material</t>
  </si>
  <si>
    <t>391140 Analista de manutenção (equipamentos aéreos)</t>
  </si>
  <si>
    <t>391145 Analista de planejamento de manutenção</t>
  </si>
  <si>
    <t>391205 Inspetor de qualidade</t>
  </si>
  <si>
    <t>391210 Técnico de garantia da qualidade</t>
  </si>
  <si>
    <t>391215 Operador de inspeção de qualidade</t>
  </si>
  <si>
    <t>391220 Técnico de painel de controle</t>
  </si>
  <si>
    <t>391225 Escolhedor de papel</t>
  </si>
  <si>
    <t>391230 Técnico operacional de serviços de correios</t>
  </si>
  <si>
    <t>395105 Técnico de apoio em pesquisa e desenvolvimento (exceto agropecuário e florestal)</t>
  </si>
  <si>
    <t>395110 Técnico de apoio em pesquisa e desenvolvimento agropecuário florestal</t>
  </si>
  <si>
    <t>410105 Supervisor administrativo</t>
  </si>
  <si>
    <t>410205 Supervisor de almoxarifado</t>
  </si>
  <si>
    <t>410210 Supervisor de câmbio</t>
  </si>
  <si>
    <t>410215 Supervisor de contas a pagar</t>
  </si>
  <si>
    <t>410220 Supervisor de controle patrimonial</t>
  </si>
  <si>
    <t>410225 Supervisor de crédito e cobrança</t>
  </si>
  <si>
    <t>410230 Supervisor de orçamento</t>
  </si>
  <si>
    <t>410235 Supervisor de tesouraria</t>
  </si>
  <si>
    <t>410240 Supervisor de logística</t>
  </si>
  <si>
    <t>411005 Auxiliar de escritório</t>
  </si>
  <si>
    <t>411010 Assistente administrativo</t>
  </si>
  <si>
    <t>411015 Atendente de judiciário</t>
  </si>
  <si>
    <t>411020 Auxiliar de judiciário</t>
  </si>
  <si>
    <t>411025 Auxiliar de cartório</t>
  </si>
  <si>
    <t>411030 Auxiliar de pessoal</t>
  </si>
  <si>
    <t>411035 Auxiliar de estatística</t>
  </si>
  <si>
    <t>411040 Auxiliar de seguros</t>
  </si>
  <si>
    <t>411045 Auxiliar de serviços de importação e exportação</t>
  </si>
  <si>
    <t>411050 Agente de microcrédito</t>
  </si>
  <si>
    <t>411055 Captador de recursos</t>
  </si>
  <si>
    <t>412105 Datilógrafo</t>
  </si>
  <si>
    <t>412110 Digitador</t>
  </si>
  <si>
    <t>412115 Operador de mensagens de telecomunicações (correios)</t>
  </si>
  <si>
    <t>412120 Supervisor de digitação e operação</t>
  </si>
  <si>
    <t>412205 Contínuo</t>
  </si>
  <si>
    <t>413105 Analista de folha de pagamento</t>
  </si>
  <si>
    <t>413110 Auxiliar de contabilidade</t>
  </si>
  <si>
    <t>413115 Auxiliar de faturamento</t>
  </si>
  <si>
    <t>413205 Atendente de agência</t>
  </si>
  <si>
    <t>413210 Caixa de banco</t>
  </si>
  <si>
    <t>413215 Compensador de banco</t>
  </si>
  <si>
    <t>413220 Conferente de serviços bancários</t>
  </si>
  <si>
    <t>413225 Escriturário de banco</t>
  </si>
  <si>
    <t>413230 Operador de cobrança bancária</t>
  </si>
  <si>
    <t>414105 Almoxarife</t>
  </si>
  <si>
    <t>414110 Armazenista</t>
  </si>
  <si>
    <t>414115 Balanceiro</t>
  </si>
  <si>
    <t>414120 Conferente mercadoria (exceto carga e descarga)</t>
  </si>
  <si>
    <t>414125 Estoquista</t>
  </si>
  <si>
    <t>414135 Expedidor de mercadorias</t>
  </si>
  <si>
    <t>414140 Auxiliar de logistica</t>
  </si>
  <si>
    <t>414205 Apontador de mão-de-obra</t>
  </si>
  <si>
    <t>414210 Apontador de produção</t>
  </si>
  <si>
    <t>414215 Conferente de carga e descarga</t>
  </si>
  <si>
    <t>415105 Arquivista de documentos</t>
  </si>
  <si>
    <t>415115 Codificador de dados</t>
  </si>
  <si>
    <t>415120 Fitotecário</t>
  </si>
  <si>
    <t>415125 Kardexista</t>
  </si>
  <si>
    <t>415130 Operador de máquina copiadora (exceto operador de gráfica rápida)</t>
  </si>
  <si>
    <t>415205 Carteiro</t>
  </si>
  <si>
    <t>415210 Operador de triagem e transbordo</t>
  </si>
  <si>
    <t>415215 Entregador de publicações</t>
  </si>
  <si>
    <t>415305 Registrador de câncer</t>
  </si>
  <si>
    <t>415310 Analista de informação em saúde</t>
  </si>
  <si>
    <t>420105 Supervisor de caixas e bilheteiros (exceto caixa de banco)</t>
  </si>
  <si>
    <t>420110 Supervisor de cobrança</t>
  </si>
  <si>
    <t>420115 Supervisor de coletadores de apostas e de jogos</t>
  </si>
  <si>
    <t>420120 Supervisor de entrevistadores e recenseadores</t>
  </si>
  <si>
    <t>420125 Supervisor de recepcionistas</t>
  </si>
  <si>
    <t>420130 Supervisor de telefonistas</t>
  </si>
  <si>
    <t>420135 Supervisor de telemarketing e atendimento</t>
  </si>
  <si>
    <t>421105 Atendente comercial (agência postal)</t>
  </si>
  <si>
    <t>421110 Bilheteiro de transportes coletivos</t>
  </si>
  <si>
    <t>421115 Bilheteiro no serviço de diversões</t>
  </si>
  <si>
    <t>421120 Emissor de passagens</t>
  </si>
  <si>
    <t>421125 Operador de caixa</t>
  </si>
  <si>
    <t>421205 Recebedor de apostas (loteria)</t>
  </si>
  <si>
    <t>421210 Recebedor de apostas (turfe)</t>
  </si>
  <si>
    <t>421305 Cobrador externo</t>
  </si>
  <si>
    <t>421310 Cobrador interno</t>
  </si>
  <si>
    <t>421315 Localizador (cobrador)</t>
  </si>
  <si>
    <t>422105 Recepcionista, em geral</t>
  </si>
  <si>
    <t>422110 Recepcionista de consultório médico ou dentário</t>
  </si>
  <si>
    <t>422115 Recepcionista de seguro saúde</t>
  </si>
  <si>
    <t>422120 Recepcionista de hotel</t>
  </si>
  <si>
    <t>422125 Recepcionista de banco</t>
  </si>
  <si>
    <t>422130 Concierge</t>
  </si>
  <si>
    <t>422205 Telefonista</t>
  </si>
  <si>
    <t>422210 Teleoperador</t>
  </si>
  <si>
    <t>422220 Operador de rádio-chamada</t>
  </si>
  <si>
    <t>422305 Operador de telemarketing ativo</t>
  </si>
  <si>
    <t>422310 Operador de telemarketing ativo e receptivo</t>
  </si>
  <si>
    <t>422315 Operador de telemarketing receptivo</t>
  </si>
  <si>
    <t>422320 Operador de telemarketing técnico</t>
  </si>
  <si>
    <t>422330 Teleatendente de emergência</t>
  </si>
  <si>
    <t>422335 Monitor de teleatendimento</t>
  </si>
  <si>
    <t>423105 Despachante documentalista</t>
  </si>
  <si>
    <t>423110 Despachante de trânsito</t>
  </si>
  <si>
    <t>424105 Entrevistador censitário e de pesquisas amostrais</t>
  </si>
  <si>
    <t>424110 Entrevistador de pesquisa de opinião e mídia</t>
  </si>
  <si>
    <t>424115 Entrevistador de pesquisas de mercado</t>
  </si>
  <si>
    <t>424120 Entrevistador de preços</t>
  </si>
  <si>
    <t>424125 Escriturário  em  estatística</t>
  </si>
  <si>
    <t>424130 Entrevistador social</t>
  </si>
  <si>
    <t>424205 Coordenador de provas (concurso, avaliação, exame)</t>
  </si>
  <si>
    <t>424210 Aplicador de provas (concurso, avaliação,exame)</t>
  </si>
  <si>
    <t>510105 Supervisor de transportes</t>
  </si>
  <si>
    <t>510110 Administrador de edifícios</t>
  </si>
  <si>
    <t>510115 Supervisor de andar</t>
  </si>
  <si>
    <t>510120 Chefe de portaria de hotel</t>
  </si>
  <si>
    <t>510130 Chefe de bar</t>
  </si>
  <si>
    <t>510135 Maître</t>
  </si>
  <si>
    <t>510205 Supervisor de lavanderia</t>
  </si>
  <si>
    <t>510305 Supervisor de bombeiros</t>
  </si>
  <si>
    <t>510310 Supervisor de vigilantes</t>
  </si>
  <si>
    <t>511105 Comissário de vôo</t>
  </si>
  <si>
    <t>511110 Comissário de trem</t>
  </si>
  <si>
    <t>511115 Taifeiro (exceto militares)</t>
  </si>
  <si>
    <t>511205 Fiscal de transportes coletivos (exceto trem)</t>
  </si>
  <si>
    <t>511210 Despachante de transportes coletivos (exceto trem)</t>
  </si>
  <si>
    <t>511215 Cobrador de transportes coletivos (exceto trem)</t>
  </si>
  <si>
    <t>511220 Bilheteiro (estações de metrô, ferroviárias e assemelhadas)</t>
  </si>
  <si>
    <t>511405 Guia de turismo</t>
  </si>
  <si>
    <t>511505 Condutor de turismo de aventura</t>
  </si>
  <si>
    <t>511510 Condutor de turismo de pesca</t>
  </si>
  <si>
    <t>512105 Empregado  doméstico  nos serviços gerais</t>
  </si>
  <si>
    <t>512110 Empregado doméstico  arrumador</t>
  </si>
  <si>
    <t>512115 Empregado doméstico  faxineiro</t>
  </si>
  <si>
    <t>512120 Empregado doméstico diarista</t>
  </si>
  <si>
    <t>513105 Mordomo de residência</t>
  </si>
  <si>
    <t>513110 Mordomo de hotelaria</t>
  </si>
  <si>
    <t>513115 Governanta de hotelaria</t>
  </si>
  <si>
    <t>513205 Cozinheiro geral</t>
  </si>
  <si>
    <t>513210 Cozinheiro do serviço doméstico</t>
  </si>
  <si>
    <t>513215 Cozinheiro industrial</t>
  </si>
  <si>
    <t>513220 Cozinheiro de hospital</t>
  </si>
  <si>
    <t>513225 Cozinheiro de embarcações</t>
  </si>
  <si>
    <t>513305 Camareiro de teatro</t>
  </si>
  <si>
    <t>513310 Camareiro de televisão</t>
  </si>
  <si>
    <t>513315 Camareiro  de hotel</t>
  </si>
  <si>
    <t>513320 Camareiro de embarcações</t>
  </si>
  <si>
    <t>513325 Guarda-roupeiro de cinema</t>
  </si>
  <si>
    <t>513405 Garçom</t>
  </si>
  <si>
    <t>513410 Sommelier</t>
  </si>
  <si>
    <t>513415 Cumim</t>
  </si>
  <si>
    <t>513420 Barman</t>
  </si>
  <si>
    <t>513425 Copeiro</t>
  </si>
  <si>
    <t>513430 Copeiro de hospital</t>
  </si>
  <si>
    <t>513435 Atendente de lanchonete</t>
  </si>
  <si>
    <t>513440 Barista</t>
  </si>
  <si>
    <t>513505 Auxiliar nos serviços de alimentação</t>
  </si>
  <si>
    <t>513605 Churrasqueiro</t>
  </si>
  <si>
    <t>513610 Pizzaiolo</t>
  </si>
  <si>
    <t>513615 Sushiman</t>
  </si>
  <si>
    <t>514105 Ascensorista</t>
  </si>
  <si>
    <t>514110 Garagista</t>
  </si>
  <si>
    <t>514115 Sacristão</t>
  </si>
  <si>
    <t>514120 Zelador de edifício</t>
  </si>
  <si>
    <t>514205 Coletor de lixo domiciliar</t>
  </si>
  <si>
    <t>514215 Varredor de rua</t>
  </si>
  <si>
    <t>514225 Trabalhador de serviços de limpeza e conservação de áreas públicas</t>
  </si>
  <si>
    <t>514230 Coletor de resíduos sólidos de serviços de saúde</t>
  </si>
  <si>
    <t>514305 Limpador de vidros</t>
  </si>
  <si>
    <t>514310 Auxiliar de manutenção predial</t>
  </si>
  <si>
    <t>514315 Limpador de fachadas</t>
  </si>
  <si>
    <t>514320 Faxineiro</t>
  </si>
  <si>
    <t>514325 Trabalhador da manutenção de edificações</t>
  </si>
  <si>
    <t>514330 Limpador de piscinas</t>
  </si>
  <si>
    <t>515105 Agente comunitário de saúde</t>
  </si>
  <si>
    <t>515110 Atendente de enfermagem</t>
  </si>
  <si>
    <t>515115 Parteira leiga</t>
  </si>
  <si>
    <t>515120 Visitador sanitário</t>
  </si>
  <si>
    <t>515125 Agente indígena de saúde</t>
  </si>
  <si>
    <t>515130 Agente indígena de saneamento</t>
  </si>
  <si>
    <t>515135 Socorrista (exceto médicos e enfermeiros)</t>
  </si>
  <si>
    <t>515140 Agente de combate às endemias</t>
  </si>
  <si>
    <t>515205 Auxiliar de banco de sangue</t>
  </si>
  <si>
    <t>515210 Auxiliar de farmácia de manipulação</t>
  </si>
  <si>
    <t>515215 Auxiliar de laboratório de análises clínicas</t>
  </si>
  <si>
    <t>515220 Auxiliar de laboratório de imunobiológicos</t>
  </si>
  <si>
    <t>515225 Auxiliar de produção farmacêutica</t>
  </si>
  <si>
    <t>515305 Educador social</t>
  </si>
  <si>
    <t>515310 Agente de ação social</t>
  </si>
  <si>
    <t>515315 Monitor de dependente químico</t>
  </si>
  <si>
    <t>515320 Conselheiro tutelar</t>
  </si>
  <si>
    <t>515325 Sócioeducador</t>
  </si>
  <si>
    <t>515330 Monitor de ressocialização prisional</t>
  </si>
  <si>
    <t>516105 Barbeiro</t>
  </si>
  <si>
    <t>516110 Cabeleireiro</t>
  </si>
  <si>
    <t>516120 Manicure</t>
  </si>
  <si>
    <t>516125 Maquiador</t>
  </si>
  <si>
    <t>516130 Maquiador de caracterização</t>
  </si>
  <si>
    <t>516140 Pedicure</t>
  </si>
  <si>
    <t>516205 Babá</t>
  </si>
  <si>
    <t>516210 Cuidador de idosos</t>
  </si>
  <si>
    <t>516215 Mãe social</t>
  </si>
  <si>
    <t>516220 Cuidador em saúde</t>
  </si>
  <si>
    <t>516305 Lavadeiro, em geral</t>
  </si>
  <si>
    <t>516310 Lavador de roupas  a maquina</t>
  </si>
  <si>
    <t>516315 Lavador de artefatos de tapeçaria</t>
  </si>
  <si>
    <t>516320 Limpador a seco, à máquina</t>
  </si>
  <si>
    <t>516325 Passador de roupas em geral</t>
  </si>
  <si>
    <t>516330 Tingidor de roupas</t>
  </si>
  <si>
    <t>516335 Conferente-expedidor de roupas (lavanderias)</t>
  </si>
  <si>
    <t>516340 Atendente de lavanderia</t>
  </si>
  <si>
    <t>516345 Auxiliar de lavanderia</t>
  </si>
  <si>
    <t>516405 Lavador de roupas</t>
  </si>
  <si>
    <t>516410 Limpador de roupas a seco, à mão</t>
  </si>
  <si>
    <t>516415 Passador de roupas, à mão</t>
  </si>
  <si>
    <t>516505 Agente funerário</t>
  </si>
  <si>
    <t>516605 Operador de forno (serviços funerários)</t>
  </si>
  <si>
    <t>516610 Sepultador</t>
  </si>
  <si>
    <t>516705 Astrólogo</t>
  </si>
  <si>
    <t>516710 Numerólogo</t>
  </si>
  <si>
    <t>516805 Esotérico</t>
  </si>
  <si>
    <t>516810 Paranormal</t>
  </si>
  <si>
    <t>517105 Bombeiro de aeródromo</t>
  </si>
  <si>
    <t>517110 Bombeiro civil</t>
  </si>
  <si>
    <t>517115 Salva-vidas</t>
  </si>
  <si>
    <t>517120 Brigadista florestal</t>
  </si>
  <si>
    <t>517125 Chefe de brigada</t>
  </si>
  <si>
    <t>517205 Agente de polícia federal</t>
  </si>
  <si>
    <t>517210 Policial rodoviário federal</t>
  </si>
  <si>
    <t>517215 Guarda-civil municipal</t>
  </si>
  <si>
    <t>517220 Agente de trânsito</t>
  </si>
  <si>
    <t>517225 Policial legislativo</t>
  </si>
  <si>
    <t>517230 Policial penal</t>
  </si>
  <si>
    <t>517235 Guarda portuário</t>
  </si>
  <si>
    <t>517305 Vigilante de proteção de aeroporto</t>
  </si>
  <si>
    <t>517310 Agente de segurança</t>
  </si>
  <si>
    <t>517320 Vigia florestal</t>
  </si>
  <si>
    <t>517325 Vigia portuário</t>
  </si>
  <si>
    <t>517330 Vigilante</t>
  </si>
  <si>
    <t>517405 Porteiro (hotel)</t>
  </si>
  <si>
    <t>517410 Porteiro de edifícios</t>
  </si>
  <si>
    <t>517415 Agente de portaria</t>
  </si>
  <si>
    <t>517420 Vigia</t>
  </si>
  <si>
    <t>517425 Fiscal de loja</t>
  </si>
  <si>
    <t>519105 Ciclista mensageiro</t>
  </si>
  <si>
    <t>519110 Motofretista</t>
  </si>
  <si>
    <t>519115 Mototaxista</t>
  </si>
  <si>
    <t>519205 Catador de material reciclável</t>
  </si>
  <si>
    <t>519210 Selecionador de material reciclável</t>
  </si>
  <si>
    <t>519215 Operador de prensa de material reciclável</t>
  </si>
  <si>
    <t>519305 Auxiliar de veterinário</t>
  </si>
  <si>
    <t>519310 Esteticista de animais domésticos</t>
  </si>
  <si>
    <t>519315 Banhista de animais domésticos</t>
  </si>
  <si>
    <t>519320 Tosador de animais domésticos</t>
  </si>
  <si>
    <t>519805 Profissional do sexo</t>
  </si>
  <si>
    <t>519905 Cartazeiro</t>
  </si>
  <si>
    <t>519910 Controlador de pragas</t>
  </si>
  <si>
    <t>519915 Engraxate</t>
  </si>
  <si>
    <t>519920 Gandula</t>
  </si>
  <si>
    <t>519925 Guardador de veículos</t>
  </si>
  <si>
    <t>519930 Lavador de garrafas, vidros e outros utensílios</t>
  </si>
  <si>
    <t>519935 Lavador de veículos</t>
  </si>
  <si>
    <t>519940 Leiturista</t>
  </si>
  <si>
    <t>519945 Recepcionista de casas de espetáculos</t>
  </si>
  <si>
    <t>520105 Supervisor de vendas de serviços</t>
  </si>
  <si>
    <t>520110 Supervisor de vendas comercial</t>
  </si>
  <si>
    <t>521105 Vendedor em comércio atacadista</t>
  </si>
  <si>
    <t>521110 Vendedor de comércio varejista</t>
  </si>
  <si>
    <t>521115 Promotor de vendas</t>
  </si>
  <si>
    <t>521120 Demonstrador de mercadorias</t>
  </si>
  <si>
    <t>521125 Repositor de mercadorias</t>
  </si>
  <si>
    <t>521130 Atendente de farmácia - balconista</t>
  </si>
  <si>
    <t>521135 Frentista</t>
  </si>
  <si>
    <t>521140 Atendente de lojas e mercados</t>
  </si>
  <si>
    <t>523105 Instalador de cortinas e persianas, portas sanfonadas e boxe</t>
  </si>
  <si>
    <t>523110 Instalador de som e acessórios de veículos</t>
  </si>
  <si>
    <t>523115 Chaveiro</t>
  </si>
  <si>
    <t>523120 Aplicador de vinil autoadesivo</t>
  </si>
  <si>
    <t>523125 Estampador de placa de identificação veicular (epiv)</t>
  </si>
  <si>
    <t>524105 Vendedor em domicílio</t>
  </si>
  <si>
    <t>524205 Feirante</t>
  </si>
  <si>
    <t>524210 Jornaleiro (em banca de jornal)</t>
  </si>
  <si>
    <t>524215 Vendedor  permissionário</t>
  </si>
  <si>
    <t>524305 Vendedor ambulante</t>
  </si>
  <si>
    <t>524310 Pipoqueiro ambulante</t>
  </si>
  <si>
    <t>524315 Baiana de acarajé</t>
  </si>
  <si>
    <t>611005 Produtor agropecuário, em geral</t>
  </si>
  <si>
    <t>612005 Produtor agrícola polivalente</t>
  </si>
  <si>
    <t>612105 Produtor de arroz</t>
  </si>
  <si>
    <t>612110 Produtor de cana-de-açúcar</t>
  </si>
  <si>
    <t>612115 Produtor de cereais de inverno</t>
  </si>
  <si>
    <t>612120 Produtor de gramíneas forrageiras</t>
  </si>
  <si>
    <t>612125 Produtor de milho e sorgo</t>
  </si>
  <si>
    <t>612205 Produtor de algodão</t>
  </si>
  <si>
    <t>612210 Produtor de curauá</t>
  </si>
  <si>
    <t>612215 Produtor de juta</t>
  </si>
  <si>
    <t>612220 Produtor de rami</t>
  </si>
  <si>
    <t>612225 Produtor de sisal</t>
  </si>
  <si>
    <t>612305 Produtor na olericultura de legumes</t>
  </si>
  <si>
    <t>612310 Produtor na olericultura de raízes, bulbos e tubérculos</t>
  </si>
  <si>
    <t>612315 Produtor na olericultura de talos, folhas e flores</t>
  </si>
  <si>
    <t>612320 Produtor na olericultura de frutos e sementes</t>
  </si>
  <si>
    <t>612405 Produtor de flores de corte</t>
  </si>
  <si>
    <t>612410 Produtor de flores em vaso</t>
  </si>
  <si>
    <t>612415 Produtor de forrações</t>
  </si>
  <si>
    <t>612420 Produtor de plantas ornamentais</t>
  </si>
  <si>
    <t>612505 Produtor de árvores frutíferas</t>
  </si>
  <si>
    <t>612510 Produtor de espécies frutíferas rasteiras</t>
  </si>
  <si>
    <t>612515 Produtor de espécies frutíferas trepadeiras</t>
  </si>
  <si>
    <t>612605 Cafeicultor</t>
  </si>
  <si>
    <t>612610 Produtor de cacau</t>
  </si>
  <si>
    <t>612615 Produtor de erva-mate</t>
  </si>
  <si>
    <t>612620 Produtor de fumo</t>
  </si>
  <si>
    <t>612625 Produtor de guaraná</t>
  </si>
  <si>
    <t>612705 Produtor da cultura de amendoim</t>
  </si>
  <si>
    <t>612710 Produtor da cultura de canola</t>
  </si>
  <si>
    <t>612715 Produtor da cultura de coco-da-baia</t>
  </si>
  <si>
    <t>612720 Produtor da cultura de dendê</t>
  </si>
  <si>
    <t>612725 Produtor da cultura de girassol</t>
  </si>
  <si>
    <t>612730 Produtor da cultura de linho</t>
  </si>
  <si>
    <t>612735 Produtor da cultura de mamona</t>
  </si>
  <si>
    <t>612740 Produtor da cultura de soja</t>
  </si>
  <si>
    <t>612805 Produtor de especiarias</t>
  </si>
  <si>
    <t>612810 Produtor de plantas aromáticas e medicinais</t>
  </si>
  <si>
    <t>613005 Criador em pecuária polivalente</t>
  </si>
  <si>
    <t>613010 Criador de animais domésticos</t>
  </si>
  <si>
    <t>613105 Criador de asininos e muares</t>
  </si>
  <si>
    <t>613110 Criador de bovinos (corte)</t>
  </si>
  <si>
    <t>613115 Criador de bovinos (leite)</t>
  </si>
  <si>
    <t>613120 Criador de bubalinos (corte)</t>
  </si>
  <si>
    <t>613125 Criador de bubalinos (leite)</t>
  </si>
  <si>
    <t>613130 Criador de eqüínos</t>
  </si>
  <si>
    <t>613205 Criador de caprinos</t>
  </si>
  <si>
    <t>613210 Criador de ovinos</t>
  </si>
  <si>
    <t>613215 Criador de suínos</t>
  </si>
  <si>
    <t>613305 Avicultor</t>
  </si>
  <si>
    <t>613310 Cunicultor</t>
  </si>
  <si>
    <t>613405 Apicultor</t>
  </si>
  <si>
    <t>613410 Criador de animais produtores de veneno</t>
  </si>
  <si>
    <t>613415 Minhocultor</t>
  </si>
  <si>
    <t>613420 Sericultor</t>
  </si>
  <si>
    <t>620105 Supervisor de exploração agrícola</t>
  </si>
  <si>
    <t>620110 Supervisor de exploração agropecuária</t>
  </si>
  <si>
    <t>620115 Supervisor de exploração pecuária</t>
  </si>
  <si>
    <t>621005 Trabalhador agropecuário em geral</t>
  </si>
  <si>
    <t>622005 Caseiro (agricultura)</t>
  </si>
  <si>
    <t>622010 Jardineiro</t>
  </si>
  <si>
    <t>622015 Trabalhador na produção de mudas e sementes</t>
  </si>
  <si>
    <t>622020 Trabalhador volante da agricultura</t>
  </si>
  <si>
    <t>622105 Trabalhador da cultura de arroz</t>
  </si>
  <si>
    <t>622110 Trabalhador da cultura de cana-de-açúcar</t>
  </si>
  <si>
    <t>622115 Trabalhador da cultura de milho e sorgo</t>
  </si>
  <si>
    <t>622120 Trabalhador da cultura de trigo, aveia, cevada e triticale</t>
  </si>
  <si>
    <t>622205 Trabalhador da cultura de algodão</t>
  </si>
  <si>
    <t>622210 Trabalhador da cultura de sisal</t>
  </si>
  <si>
    <t>622215 Trabalhador da cultura do rami</t>
  </si>
  <si>
    <t>622305 Trabalhador na olericultura (frutos e sementes)</t>
  </si>
  <si>
    <t>622310 Trabalhador na olericultura (legumes)</t>
  </si>
  <si>
    <t>622315 Trabalhador na olericultura (raízes, bulbos e tubérculos)</t>
  </si>
  <si>
    <t>622320 Trabalhador na olericultura (talos, folhas e flores)</t>
  </si>
  <si>
    <t>622405 Trabalhador no cultivo de flores e folhagens de corte</t>
  </si>
  <si>
    <t>622410 Trabalhador no cultivo de flores em vaso</t>
  </si>
  <si>
    <t>622415 Trabalhador no cultivo de forrações</t>
  </si>
  <si>
    <t>622420 Trabalhador no cultivo de mudas</t>
  </si>
  <si>
    <t>622425 Trabalhador no cultivo de plantas ornamentais</t>
  </si>
  <si>
    <t>622505 Trabalhador no cultivo de árvores frutíferas</t>
  </si>
  <si>
    <t>622510 Trabalhador no cultivo de espécies frutíferas rasteiras</t>
  </si>
  <si>
    <t>622515 Trabalhador no cultivo de trepadeiras frutíferas</t>
  </si>
  <si>
    <t>622605 Trabalhador da cultura de cacau</t>
  </si>
  <si>
    <t>622610 Trabalhador da cultura de café</t>
  </si>
  <si>
    <t>622615 Trabalhador da cultura de erva-mate</t>
  </si>
  <si>
    <t>622620 Trabalhador da cultura de fumo</t>
  </si>
  <si>
    <t>622625 Trabalhador da cultura de guaraná</t>
  </si>
  <si>
    <t>622705 Trabalhador na cultura de amendoim</t>
  </si>
  <si>
    <t>622710 Trabalhador na cultura de canola</t>
  </si>
  <si>
    <t>622715 Trabalhador na cultura de coco-da-baía</t>
  </si>
  <si>
    <t>622720 Trabalhador na cultura de dendê</t>
  </si>
  <si>
    <t>622725 Trabalhador na cultura de mamona</t>
  </si>
  <si>
    <t>622730 Trabalhador na cultura de soja</t>
  </si>
  <si>
    <t>622735 Trabalhador na cultura do girassol</t>
  </si>
  <si>
    <t>622740 Trabalhador na cultura do linho</t>
  </si>
  <si>
    <t>622805 Trabalhador da cultura de especiarias</t>
  </si>
  <si>
    <t>622810 Trabalhador da cultura de plantas aromáticas e medicinais</t>
  </si>
  <si>
    <t>623005 Adestrador de animais</t>
  </si>
  <si>
    <t>623010 Inseminador</t>
  </si>
  <si>
    <t>623015 Trabalhador de pecuária polivalente</t>
  </si>
  <si>
    <t>623020 Tratador de animais</t>
  </si>
  <si>
    <t>623025 Casqueador de animais</t>
  </si>
  <si>
    <t>623030 Ferrador de animais</t>
  </si>
  <si>
    <t>623105 Trabalhador da pecuária (asininos e muares)</t>
  </si>
  <si>
    <t>623110 Trabalhador da pecuária (bovinos corte)</t>
  </si>
  <si>
    <t>623115 Trabalhador da pecuária (bovinos leite)</t>
  </si>
  <si>
    <t>623120 Trabalhador da pecuária (bubalinos)</t>
  </si>
  <si>
    <t>623125 Trabalhador da pecuária (eqüinos)</t>
  </si>
  <si>
    <t>623205 Trabalhador da caprinocultura</t>
  </si>
  <si>
    <t>623210 Trabalhador da ovinocultura</t>
  </si>
  <si>
    <t>623215 Trabalhador da suinocultura</t>
  </si>
  <si>
    <t>623305 Trabalhador da avicultura de corte</t>
  </si>
  <si>
    <t>623310 Trabalhador da avicultura de postura</t>
  </si>
  <si>
    <t>623315 Operador de incubadora</t>
  </si>
  <si>
    <t>623320 Trabalhador da cunicultura</t>
  </si>
  <si>
    <t>623325 Sexador</t>
  </si>
  <si>
    <t>623405 Trabalhador em criatórios de animais produtores de veneno</t>
  </si>
  <si>
    <t>623410 Trabalhador na apicultura</t>
  </si>
  <si>
    <t>623415 Trabalhador na minhocultura</t>
  </si>
  <si>
    <t>623420 Trabalhador na sericicultura</t>
  </si>
  <si>
    <t>630105 Supervisor da aqüicultura</t>
  </si>
  <si>
    <t>630110 Supervisor da área florestal</t>
  </si>
  <si>
    <t>631005 Catador de caranguejos e siris</t>
  </si>
  <si>
    <t>631010 Catador de mariscos</t>
  </si>
  <si>
    <t>631015 Pescador artesanal de lagostas</t>
  </si>
  <si>
    <t>631020 Pescador artesanal de peixes e camarões</t>
  </si>
  <si>
    <t>631105 Pescador artesanal de água doce</t>
  </si>
  <si>
    <t>631205 Pescador industrial</t>
  </si>
  <si>
    <t>631210 Pescador profissional</t>
  </si>
  <si>
    <t>631305 Criador de camarões</t>
  </si>
  <si>
    <t>631310 Criador de jacarés</t>
  </si>
  <si>
    <t>631315 Criador de mexilhões</t>
  </si>
  <si>
    <t>631320 Criador de ostras</t>
  </si>
  <si>
    <t>631325 Criador de peixes</t>
  </si>
  <si>
    <t>631330 Criador de quelônios</t>
  </si>
  <si>
    <t>631335 Criador de rãs</t>
  </si>
  <si>
    <t>631405 Gelador industrial</t>
  </si>
  <si>
    <t>631410 Gelador profissional</t>
  </si>
  <si>
    <t>631415 Proeiro</t>
  </si>
  <si>
    <t>631420 Redeiro (pesca)</t>
  </si>
  <si>
    <t>632005 Guia florestal</t>
  </si>
  <si>
    <t>632010 Raizeiro</t>
  </si>
  <si>
    <t>632015 Viveirista florestal</t>
  </si>
  <si>
    <t>632105 Classificador de toras</t>
  </si>
  <si>
    <t>632110 Cubador de madeira</t>
  </si>
  <si>
    <t>632115 Identificador florestal</t>
  </si>
  <si>
    <t>632120 Operador de motosserra</t>
  </si>
  <si>
    <t>632125 Trabalhador de extração florestal, em geral</t>
  </si>
  <si>
    <t>632205 Seringueiro</t>
  </si>
  <si>
    <t>632210 Trabalhador da exploração de espécies produtoras de gomas não elásticas</t>
  </si>
  <si>
    <t>632215 Trabalhador da exploração de resinas</t>
  </si>
  <si>
    <t>632305 Trabalhador da exploração de andiroba</t>
  </si>
  <si>
    <t>632310 Trabalhador da exploração de babaçu</t>
  </si>
  <si>
    <t>632315 Trabalhador da exploração de bacaba</t>
  </si>
  <si>
    <t>632320 Trabalhador da exploração de buriti</t>
  </si>
  <si>
    <t>632325 Trabalhador da exploração de carnaúba</t>
  </si>
  <si>
    <t>632330 Trabalhador da exploração de coco-da-praia</t>
  </si>
  <si>
    <t>632335 Trabalhador da exploração de copaíba</t>
  </si>
  <si>
    <t>632340 Trabalhador da exploração de malva (pãina)</t>
  </si>
  <si>
    <t>632345 Trabalhador da exploração de murumuru</t>
  </si>
  <si>
    <t>632350 Trabalhador da exploração de oiticica</t>
  </si>
  <si>
    <t>632355 Trabalhador da exploração de ouricuri</t>
  </si>
  <si>
    <t>632360 Trabalhador da exploração de pequi</t>
  </si>
  <si>
    <t>632365 Trabalhador da exploração de piaçava</t>
  </si>
  <si>
    <t>632370 Trabalhador da exploração de tucum</t>
  </si>
  <si>
    <t>632405 Trabalhador da exploração de açaí</t>
  </si>
  <si>
    <t>632410 Trabalhador da exploração de castanha</t>
  </si>
  <si>
    <t>632415 Trabalhador da exploração de pinhão</t>
  </si>
  <si>
    <t>632420 Trabalhador da exploração de pupunha</t>
  </si>
  <si>
    <t>632505 Trabalhador da exploração de árvores e arbustos produtores de substâncias aromát., Medic. E tóxicas</t>
  </si>
  <si>
    <t>632510 Trabalhador da exploração de cipós produtores de substâncias aromáticas, medicinais e tóxicas</t>
  </si>
  <si>
    <t>632515 Trabalhador da exploração de madeiras tanantes</t>
  </si>
  <si>
    <t>632520 Trabalhador da exploração de raízes produtoras de substâncias aromáticas, medicinais e tóxicas</t>
  </si>
  <si>
    <t>632525 Trabalhador da extração de substâncias aromáticas, medicinais e tóxicas, em geral</t>
  </si>
  <si>
    <t>632605 Carvoeiro</t>
  </si>
  <si>
    <t>632610 Carbonizador</t>
  </si>
  <si>
    <t>632615 Ajudante de carvoaria</t>
  </si>
  <si>
    <t>641005 Operador de colheitadeira</t>
  </si>
  <si>
    <t>641010 Operador de máquinas de beneficiamento de produtos agrícolas</t>
  </si>
  <si>
    <t>641015 Tratorista agrícola</t>
  </si>
  <si>
    <t>642005 Operador de colhedor florestal</t>
  </si>
  <si>
    <t>642010 Operador de máquinas florestais estáticas</t>
  </si>
  <si>
    <t>642015 Operador de trator florestal</t>
  </si>
  <si>
    <t>643005 Trabalhador na operação de sistema de irrigação localizada (microaspersão e gotejamento)</t>
  </si>
  <si>
    <t>643010 Trabalhador na operação de sistema de irrigação por aspersão (pivô central)</t>
  </si>
  <si>
    <t>643015 Trabalhador na operação de sistemas convencionais de irrigação por aspersão</t>
  </si>
  <si>
    <t>643020 Trabalhador na operação de sistemas de irrigação e aspersão (alto propelido)</t>
  </si>
  <si>
    <t>643025 Trabalhador na operação de sistemas de irrigação por superfície e drenagem</t>
  </si>
  <si>
    <t>710105 Supervisor de apoio operacional na mineração</t>
  </si>
  <si>
    <t>710110 Supervisor de extração de sal</t>
  </si>
  <si>
    <t>710115 Supervisor de perfuração e desmonte</t>
  </si>
  <si>
    <t>710120 Supervisor de produção na mineração</t>
  </si>
  <si>
    <t>710125 Supervisor de transporte na mineração</t>
  </si>
  <si>
    <t>710205 Mestre (construção civil)</t>
  </si>
  <si>
    <t>710210 Mestre de linhas (ferrovias)</t>
  </si>
  <si>
    <t>710215 Inspetor de terraplenagem</t>
  </si>
  <si>
    <t>710220 Supervisor de usina de concreto</t>
  </si>
  <si>
    <t>710225 Fiscal de pátio de usina de concreto</t>
  </si>
  <si>
    <t>711105 Amostrador de minérios</t>
  </si>
  <si>
    <t>711110 Canteiro</t>
  </si>
  <si>
    <t>711115 Destroçador de pedra</t>
  </si>
  <si>
    <t>711120 Detonador</t>
  </si>
  <si>
    <t>711125 Escorador de minas</t>
  </si>
  <si>
    <t>711130 Mineiro</t>
  </si>
  <si>
    <t>711205 Operador de caminhão (minas e pedreiras)</t>
  </si>
  <si>
    <t>711210 Operador de carregadeira</t>
  </si>
  <si>
    <t>711215 Operador de máquina cortadora (minas e pedreiras)</t>
  </si>
  <si>
    <t>711220 Operador de máquina de extração contínua (minas de carvão)</t>
  </si>
  <si>
    <t>711225 Operador de máquina perfuradora (minas e pedreiras)</t>
  </si>
  <si>
    <t>711230 Operador de máquina perfuratriz</t>
  </si>
  <si>
    <t>711235 Operador de motoniveladora (extração de minerais sólidos)</t>
  </si>
  <si>
    <t>711240 Operador de schutthecar</t>
  </si>
  <si>
    <t>711245 Operador de trator (minas e pedreiras)</t>
  </si>
  <si>
    <t>711305 Operador de sonda de percussão</t>
  </si>
  <si>
    <t>711310 Operador de sonda rotativa</t>
  </si>
  <si>
    <t>711315 Sondador (poços de petróleo e gás)</t>
  </si>
  <si>
    <t>711320 Sondador de poços (exceto de petróleo e gás)</t>
  </si>
  <si>
    <t>711325 Plataformista (petróleo)</t>
  </si>
  <si>
    <t>711330 Torrista (petróleo)</t>
  </si>
  <si>
    <t>711405 Garimpeiro</t>
  </si>
  <si>
    <t>711410 Operador de salina (sal marinho)</t>
  </si>
  <si>
    <t>712105 Moleiro de minérios</t>
  </si>
  <si>
    <t>712110 Operador de aparelho de flotação</t>
  </si>
  <si>
    <t>712115 Operador de aparelho de precipitação (minas de ouro ou prata)</t>
  </si>
  <si>
    <t>712120 Operador de britador de mandíbulas</t>
  </si>
  <si>
    <t>712125 Operador de espessador</t>
  </si>
  <si>
    <t>712130 Operador de jig (minas)</t>
  </si>
  <si>
    <t>712135 Operador de peneiras hidráulicas</t>
  </si>
  <si>
    <t>712205 Cortador de pedras</t>
  </si>
  <si>
    <t>712210 Gravador de inscrições em pedra</t>
  </si>
  <si>
    <t>712215 Gravador de relevos em pedra</t>
  </si>
  <si>
    <t>712220 Polidor de pedras</t>
  </si>
  <si>
    <t>712225 Torneiro (lavra de pedra)</t>
  </si>
  <si>
    <t>712230 Traçador de pedras</t>
  </si>
  <si>
    <t>715105 Operador de bate-estacas</t>
  </si>
  <si>
    <t>715110 Operador de compactadora de solos</t>
  </si>
  <si>
    <t>715115 Operador de escavadeira</t>
  </si>
  <si>
    <t>715120 Operador de máquina de abrir valas</t>
  </si>
  <si>
    <t>715125 Operador de máquinas de construção civil e mineração</t>
  </si>
  <si>
    <t>715130 Operador de motoniveladora</t>
  </si>
  <si>
    <t>715135 Operador de pá carregadeira</t>
  </si>
  <si>
    <t>715140 Operador de pavimentadora (asfalto, concreto e materiais similares)</t>
  </si>
  <si>
    <t>715145 Operador de trator de lâmina</t>
  </si>
  <si>
    <t>715205 Calceteiro</t>
  </si>
  <si>
    <t>715210 Pedreiro</t>
  </si>
  <si>
    <t>715215 Pedreiro (chaminés industriais)</t>
  </si>
  <si>
    <t>715220 Pedreiro (material refratário)</t>
  </si>
  <si>
    <t>715225 Pedreiro (mineração)</t>
  </si>
  <si>
    <t>715230 Pedreiro de edificações</t>
  </si>
  <si>
    <t>715305 Armador de estrutura de concreto</t>
  </si>
  <si>
    <t>715310 Moldador de corpos de prova em usinas de concreto</t>
  </si>
  <si>
    <t>715315 Armador de estrutura de concreto armado</t>
  </si>
  <si>
    <t>715405 Operador de betoneira</t>
  </si>
  <si>
    <t>715410 Operador de bomba de concreto</t>
  </si>
  <si>
    <t>715415 Operador de central de concreto</t>
  </si>
  <si>
    <t>715420 Operador de usina de asfalto</t>
  </si>
  <si>
    <t>715505 Carpinteiro</t>
  </si>
  <si>
    <t>715510 Carpinteiro (esquadrias)</t>
  </si>
  <si>
    <t>715515 Carpinteiro (cenários)</t>
  </si>
  <si>
    <t>715520 Carpinteiro (mineração)</t>
  </si>
  <si>
    <t>715525 Carpinteiro de obras</t>
  </si>
  <si>
    <t>715530 Carpinteiro (telhados)</t>
  </si>
  <si>
    <t>715535 Carpinteiro de fôrmas para concreto</t>
  </si>
  <si>
    <t>715540 Carpinteiro de obras civis de arte (pontes, túneis, barragens)</t>
  </si>
  <si>
    <t>715545 Montador de andaimes (edificações)</t>
  </si>
  <si>
    <t>715605 Eletricista de instalações (cenários)</t>
  </si>
  <si>
    <t>715610 Eletricista de instalações (edifícios)</t>
  </si>
  <si>
    <t>715615 Eletricista de instalações</t>
  </si>
  <si>
    <t>715705 Aplicador de asfalto impermeabilizante (coberturas)</t>
  </si>
  <si>
    <t>715710 Instalador de isolantes acústicos</t>
  </si>
  <si>
    <t>715715 Instalador de isolantes térmicos (refrigeração e climatização)</t>
  </si>
  <si>
    <t>715720 Instalador de isolantes térmicos de caldeira e tubulações</t>
  </si>
  <si>
    <t>715725 Instalador de material isolante, a mão (edificações)</t>
  </si>
  <si>
    <t>715730 Instalador de material isolante, à máquina (edificações)</t>
  </si>
  <si>
    <t>716105 Acabador de superfícies de concreto</t>
  </si>
  <si>
    <t>716110 Revestidor de superfícies de concreto</t>
  </si>
  <si>
    <t>716205 Telhador (telhas de argila e materiais similares)</t>
  </si>
  <si>
    <t>716210 Telhador (telhas de cimento-amianto)</t>
  </si>
  <si>
    <t>716215 Telhador (telhas metálicas)</t>
  </si>
  <si>
    <t>716220 Telhador (telhas plásticas)</t>
  </si>
  <si>
    <t>716305 Vidraceiro</t>
  </si>
  <si>
    <t>716310 Vidraceiro (edificações)</t>
  </si>
  <si>
    <t>716315 Vidraceiro (vitrais)</t>
  </si>
  <si>
    <t>716405 Gesseiro</t>
  </si>
  <si>
    <t>716505 Assoalhador</t>
  </si>
  <si>
    <t>716510 Assentador de revestimentos cerâmicos</t>
  </si>
  <si>
    <t>716515 Pastilheiro</t>
  </si>
  <si>
    <t>716520 Lustrador de piso</t>
  </si>
  <si>
    <t>716525 Marmorista (construção)</t>
  </si>
  <si>
    <t>716530 Mosaísta</t>
  </si>
  <si>
    <t>716535 Taqueiro</t>
  </si>
  <si>
    <t>716540 Rejuntador de revestimentos</t>
  </si>
  <si>
    <t>716605 Calafetador</t>
  </si>
  <si>
    <t>716610 Pintor de obras</t>
  </si>
  <si>
    <t>716615 Revestidor de interiores (papel, material plástico e emborrachados)</t>
  </si>
  <si>
    <t>717005 Demolidor de edificações</t>
  </si>
  <si>
    <t>717010 Operador de martelete</t>
  </si>
  <si>
    <t>717015 Poceiro (edificações)</t>
  </si>
  <si>
    <t>717020 Servente de obras</t>
  </si>
  <si>
    <t>717025 Vibradorista</t>
  </si>
  <si>
    <t>720105 Mestre (afiador de ferramentas)</t>
  </si>
  <si>
    <t>720110 Mestre de caldeiraria</t>
  </si>
  <si>
    <t>720115 Mestre de ferramentaria</t>
  </si>
  <si>
    <t>720120 Mestre de forjaria</t>
  </si>
  <si>
    <t>720125 Mestre de fundição</t>
  </si>
  <si>
    <t>720130 Mestre de galvanoplastia</t>
  </si>
  <si>
    <t>720135 Mestre de pintura (tratamento de superfícies)</t>
  </si>
  <si>
    <t>720140 Mestre de soldagem</t>
  </si>
  <si>
    <t>720145 Mestre de trefilação de metais</t>
  </si>
  <si>
    <t>720150 Mestre de usinagem</t>
  </si>
  <si>
    <t>720155 Mestre serralheiro</t>
  </si>
  <si>
    <t>720160 Supervisor de controle de tratamento térmico</t>
  </si>
  <si>
    <t>720205 Mestre (construção naval)</t>
  </si>
  <si>
    <t>720210 Mestre (indústria de automotores e material de transportes)</t>
  </si>
  <si>
    <t>720215 Mestre (indústria de máquinas e outros equipamentos mecânicos)</t>
  </si>
  <si>
    <t>720220 Mestre de construção de fornos</t>
  </si>
  <si>
    <t>721105 Ferramenteiro</t>
  </si>
  <si>
    <t>721110 Ferramenteiro de mandris, calibradores e outros dispositivos</t>
  </si>
  <si>
    <t>721115 Modelador de metais (fundição)</t>
  </si>
  <si>
    <t>721205 Operador de máquina de eletroerosão</t>
  </si>
  <si>
    <t>721210 Operador de máquinas operatrizes</t>
  </si>
  <si>
    <t>721215 Operador de máquinas-ferramenta convencionais</t>
  </si>
  <si>
    <t>721220 Operador de usinagem convencional por abrasão</t>
  </si>
  <si>
    <t>721225 Preparador de máquinas-ferramenta</t>
  </si>
  <si>
    <t>721305 Afiador de cardas</t>
  </si>
  <si>
    <t>721310 Afiador de cutelaria</t>
  </si>
  <si>
    <t>721315 Afiador de ferramentas</t>
  </si>
  <si>
    <t>721320 Afiador de serras</t>
  </si>
  <si>
    <t>721325 Polidor de metais</t>
  </si>
  <si>
    <t>721405 Operador de centro de usinagem com comando numérico</t>
  </si>
  <si>
    <t>721410 Operador de fresadora com comando numérico</t>
  </si>
  <si>
    <t>721415 Operador de mandriladora com comando numérico</t>
  </si>
  <si>
    <t>721420 Operador de máquina eletroerosão, à fio, com comando numérico</t>
  </si>
  <si>
    <t>721425 Operador de retificadora com comando numérico</t>
  </si>
  <si>
    <t>721430 Operador de torno com comando numérico</t>
  </si>
  <si>
    <t>722105 Forjador</t>
  </si>
  <si>
    <t>722110 Forjador a martelo</t>
  </si>
  <si>
    <t>722115 Forjador prensista</t>
  </si>
  <si>
    <t>722205 Fundidor de metais</t>
  </si>
  <si>
    <t>722210 Lingotador</t>
  </si>
  <si>
    <t>722215 Operador de acabamento de peças fundidas</t>
  </si>
  <si>
    <t>722220 Operador de máquina de fundição</t>
  </si>
  <si>
    <t>722225 Operador de máquina de fundir sob pressão</t>
  </si>
  <si>
    <t>722230 Operador de vazamento (lingotamento)</t>
  </si>
  <si>
    <t>722235 Preparador de panelas (lingotamento)</t>
  </si>
  <si>
    <t>722305 Macheiro, a mão</t>
  </si>
  <si>
    <t>722310 Macheiro, a  máquina</t>
  </si>
  <si>
    <t>722315 Moldador, a  mão</t>
  </si>
  <si>
    <t>722320 Moldador, a  máquina</t>
  </si>
  <si>
    <t>722325 Operador de equipamentos de preparação de areia</t>
  </si>
  <si>
    <t>722330 Operador de máquina de moldar automatizada</t>
  </si>
  <si>
    <t>722405 Cableador</t>
  </si>
  <si>
    <t>722410 Estirador de tubos de metal sem costura</t>
  </si>
  <si>
    <t>722415 Trefilador de metais, à máquina</t>
  </si>
  <si>
    <t>723105 Cementador de metais</t>
  </si>
  <si>
    <t>723110 Normalizador de metais e de compósitos</t>
  </si>
  <si>
    <t>723115 Operador de equipamento para resfriamento</t>
  </si>
  <si>
    <t>723120 Operador de forno de tratamento térmico de metais</t>
  </si>
  <si>
    <t>723125 Temperador de metais e de compósitos</t>
  </si>
  <si>
    <t>723205 Decapador</t>
  </si>
  <si>
    <t>723210 Fosfatizador</t>
  </si>
  <si>
    <t>723215 Galvanizador</t>
  </si>
  <si>
    <t>723220 Metalizador a pistola</t>
  </si>
  <si>
    <t>723225 Metalizador (banho quente)</t>
  </si>
  <si>
    <t>723230 Operador de máquina recobridora de arame</t>
  </si>
  <si>
    <t>723235 Operador de zincagem (processo eletrolítico)</t>
  </si>
  <si>
    <t>723240 Oxidador</t>
  </si>
  <si>
    <t>723305 Operador de equipamento de secagem de pintura</t>
  </si>
  <si>
    <t>723310 Pintor a pincel e rolo (exceto obras e estruturas metálicas)</t>
  </si>
  <si>
    <t>723315 Pintor de estruturas metálicas</t>
  </si>
  <si>
    <t>723320 Pintor de veículos (fabricação)</t>
  </si>
  <si>
    <t>723325 Pintor por imersão</t>
  </si>
  <si>
    <t>723330 Pintor, a  pistola (exceto obras e estruturas metálicas)</t>
  </si>
  <si>
    <t>724105 Assentador de canalização (edificações)</t>
  </si>
  <si>
    <t>724110 Encanador</t>
  </si>
  <si>
    <t>724115 Instalador de tubulações</t>
  </si>
  <si>
    <t>724120 Instalador de tubulações (aeronaves)</t>
  </si>
  <si>
    <t>724125 Instalador de tubulações (embarcações)</t>
  </si>
  <si>
    <t>724130 Instalador de tubulações de gás combustível (produção e distribuição)</t>
  </si>
  <si>
    <t>724135 Instalador de tubulações de vapor (produção e distribuição)</t>
  </si>
  <si>
    <t>724205 Montador de estruturas metálicas</t>
  </si>
  <si>
    <t>724210 Montador de estruturas metálicas de embarcações</t>
  </si>
  <si>
    <t>724215 Rebitador a  martelo pneumático</t>
  </si>
  <si>
    <t>724220 Preparador de estruturas metálicas</t>
  </si>
  <si>
    <t>724225 Riscador de estruturas metálicas</t>
  </si>
  <si>
    <t>724230 Rebitador, a  mão</t>
  </si>
  <si>
    <t>724305 Brasador</t>
  </si>
  <si>
    <t>724310 Oxicortador a mão e a  máquina</t>
  </si>
  <si>
    <t>724315 Soldador</t>
  </si>
  <si>
    <t>724320 Soldador a  oxigás</t>
  </si>
  <si>
    <t>724325 Soldador elétrico</t>
  </si>
  <si>
    <t>724405 Caldeireiro (chapas de cobre)</t>
  </si>
  <si>
    <t>724410 Caldeireiro (chapas de ferro e aço)</t>
  </si>
  <si>
    <t>724415 Chapeador</t>
  </si>
  <si>
    <t>724420 Chapeador de carrocerias metálicas (fabricação)</t>
  </si>
  <si>
    <t>724425 Chapeador naval</t>
  </si>
  <si>
    <t>724430 Chapeador de aeronaves</t>
  </si>
  <si>
    <t>724435 Funileiro industrial</t>
  </si>
  <si>
    <t>724440 Serralheiro</t>
  </si>
  <si>
    <t>724505 Operador de máquina de cilindrar chapas</t>
  </si>
  <si>
    <t>724510 Operador de máquina de dobrar chapas</t>
  </si>
  <si>
    <t>724515 Prensista (operador de prensa)</t>
  </si>
  <si>
    <t>724605 Operador de laços de cabos de aço</t>
  </si>
  <si>
    <t>724610 Trançador de cabos de aço</t>
  </si>
  <si>
    <t>725005 Ajustador ferramenteiro</t>
  </si>
  <si>
    <t>725010 Ajustador mecânico</t>
  </si>
  <si>
    <t>725015 Ajustador mecânico (usinagem em bancada e em máquinas-ferramentas)</t>
  </si>
  <si>
    <t>725020 Ajustador mecânico em bancada</t>
  </si>
  <si>
    <t>725025 Ajustador naval (reparo e construção)</t>
  </si>
  <si>
    <t>725030 Operador de manutenção e recarga de extintor de incêndio</t>
  </si>
  <si>
    <t>725105 Montador de máquinas, motores e acessórios (montagem em série)</t>
  </si>
  <si>
    <t>725205 Montador de máquinas</t>
  </si>
  <si>
    <t>725210 Montador de máquinas gráficas</t>
  </si>
  <si>
    <t>725215 Montador de máquinas operatrizes para madeira</t>
  </si>
  <si>
    <t>725220 Montador de máquinas têxteis</t>
  </si>
  <si>
    <t>725225 Montador de máquinas-ferramentas (usinagem de metais)</t>
  </si>
  <si>
    <t>725305 Montador de equipamento de levantamento</t>
  </si>
  <si>
    <t>725310 Montador de máquinas agrícolas</t>
  </si>
  <si>
    <t>725315 Montador de máquinas de minas e pedreiras</t>
  </si>
  <si>
    <t>725320 Montador de máquinas de terraplenagem</t>
  </si>
  <si>
    <t>725405 Mecânico montador de motores de aeronaves</t>
  </si>
  <si>
    <t>725410 Mecânico montador de motores de embarcações</t>
  </si>
  <si>
    <t>725415 Mecânico montador de motores de explosão e diesel</t>
  </si>
  <si>
    <t>725420 Mecânico montador de turboalimentadores</t>
  </si>
  <si>
    <t>725505 Montador de veículos (linha de montagem)</t>
  </si>
  <si>
    <t>725510 Operador de time de montagem</t>
  </si>
  <si>
    <t>725605 Montador de estruturas de aeronaves</t>
  </si>
  <si>
    <t>725610 Montador de sistemas de combustível de aeronaves</t>
  </si>
  <si>
    <t>725705 Mecânico de refrigeração</t>
  </si>
  <si>
    <t>730105 Supervisor de montagem e instalação eletroeletrônica</t>
  </si>
  <si>
    <t>731105 Montador de equipamentos eletrônicos (aparelhos médicos)</t>
  </si>
  <si>
    <t>731110 Montador de equipamentos eletrônicos (computadores e equipamentos auxiliares)</t>
  </si>
  <si>
    <t>731115 Montador de equipamentos elétricos (instrumentos de medição)</t>
  </si>
  <si>
    <t>731120 Montador de equipamentos elétricos (aparelhos eletrodomésticos)</t>
  </si>
  <si>
    <t>731125 Montador de equipamentos elétricos (centrais elétricas)</t>
  </si>
  <si>
    <t>731130 Montador de equipamentos elétricos (motores e dínamos)</t>
  </si>
  <si>
    <t>731135 Montador de equipamentos elétricos</t>
  </si>
  <si>
    <t>731140 Montador de equipamentos eletrônicos (instalações de sinalização)</t>
  </si>
  <si>
    <t>731145 Montador de equipamentos eletrônicos (máquinas industriais)</t>
  </si>
  <si>
    <t>731150 Montador de equipamentos eletrônicos</t>
  </si>
  <si>
    <t>731155 Montador de equipamentos elétricos (elevadores e equipamentos similares)</t>
  </si>
  <si>
    <t>731160 Montador de equipamentos elétricos (transformadores)</t>
  </si>
  <si>
    <t>731165 Bobinador eletricista, à mão</t>
  </si>
  <si>
    <t>731170 Bobinador eletricista, à máquina</t>
  </si>
  <si>
    <t>731175 Operador de linha de montagem (aparelhos elétricos)</t>
  </si>
  <si>
    <t>731180 Operador de linha de montagem (aparelhos eletrônicos)</t>
  </si>
  <si>
    <t>731205 Montador de equipamentos eletrônicos (estação de rádio, tv e equipamentos de radar)</t>
  </si>
  <si>
    <t>731305 Instalador-reparador de equipamentos de comutação em telefonia</t>
  </si>
  <si>
    <t>731310 Instalador-reparador de equipamentos de energia em telefonia</t>
  </si>
  <si>
    <t>731315 Instalador-reparador de equipamentos de transmissão em telefonia</t>
  </si>
  <si>
    <t>731320 Instalador-reparador de linhas e aparelhos de telecomunicações</t>
  </si>
  <si>
    <t>731325 Instalador-reparador de redes e cabos telefônicos</t>
  </si>
  <si>
    <t>731330 Reparador de aparelhos de telecomunicações em laboratório</t>
  </si>
  <si>
    <t>732105 Eletricista de manutenção de linhas elétricas, telefônicas e de comunicação de dados</t>
  </si>
  <si>
    <t>732110 Emendador de cabos elétricos e telefônicos (aéreos e subterrâneos)</t>
  </si>
  <si>
    <t>732115 Examinador de cabos, linhas elétricas e telefônicas</t>
  </si>
  <si>
    <t>732120 Instalador de linhas elétricas de alta e baixa - tensão (rede aérea e subterrânea)</t>
  </si>
  <si>
    <t>732125 Instalador eletricista (tração de veículos)</t>
  </si>
  <si>
    <t>732130 Instalador-reparador de redes telefônicas e de comunicação de dados</t>
  </si>
  <si>
    <t>732135 Ligador de linhas telefônicas</t>
  </si>
  <si>
    <t>732140 Instalador de sistemas fotovoltaicos</t>
  </si>
  <si>
    <t>740105 Supervisor da mecânica de precisão</t>
  </si>
  <si>
    <t>740110 Supervisor de fabricação de instrumentos musicais</t>
  </si>
  <si>
    <t>741105 Ajustador de instrumentos de precisão</t>
  </si>
  <si>
    <t>741110 Montador de instrumentos de óptica</t>
  </si>
  <si>
    <t>741115 Montador de instrumentos de precisão</t>
  </si>
  <si>
    <t>741120 Relojoeiro (fabricação)</t>
  </si>
  <si>
    <t>741125 Relojoeiro (reparação)</t>
  </si>
  <si>
    <t>742105 Afinador de instrumentos musicais</t>
  </si>
  <si>
    <t>742110 Confeccionador de acordeão</t>
  </si>
  <si>
    <t>742115 Confeccionador de instrumentos de corda</t>
  </si>
  <si>
    <t>742120 Confeccionador de instrumentos de percussão (pele, couro ou plástico)</t>
  </si>
  <si>
    <t>742125 Confeccionador de instrumentos de sopro (madeira)</t>
  </si>
  <si>
    <t>742130 Confeccionador de instrumentos de sopro (metal)</t>
  </si>
  <si>
    <t>742135 Confeccionador de órgão</t>
  </si>
  <si>
    <t>742140 Confeccionador de piano</t>
  </si>
  <si>
    <t>750105 Supervisor de joalheria</t>
  </si>
  <si>
    <t>750205 Supervisor da indústria de minerais não metálicos (exceto os derivados de petróleo e carvão)</t>
  </si>
  <si>
    <t>751005 Engastador (jóias)</t>
  </si>
  <si>
    <t>751010 Joalheiro</t>
  </si>
  <si>
    <t>751015 Joalheiro (reparações)</t>
  </si>
  <si>
    <t>751020 Lapidador (jóias)</t>
  </si>
  <si>
    <t>751105 Bate-folha a  máquina</t>
  </si>
  <si>
    <t>751110 Fundidor (joalheria e ourivesaria)</t>
  </si>
  <si>
    <t>751115 Gravador (joalheria e ourivesaria)</t>
  </si>
  <si>
    <t>751120 Laminador de metais preciosos a  mão</t>
  </si>
  <si>
    <t>751125 Ourives</t>
  </si>
  <si>
    <t>751130 Trefilador (joalheria e ourivesaria)</t>
  </si>
  <si>
    <t>752105 Artesão modelador (vidros)</t>
  </si>
  <si>
    <t>752110 Moldador (vidros)</t>
  </si>
  <si>
    <t>752115 Soprador de vidro</t>
  </si>
  <si>
    <t>752120 Transformador de tubos de vidro</t>
  </si>
  <si>
    <t>752205 Aplicador serigráfico em vidros</t>
  </si>
  <si>
    <t>752210 Cortador de vidro</t>
  </si>
  <si>
    <t>752215 Gravador de vidro a  água-forte</t>
  </si>
  <si>
    <t>752220 Gravador de vidro a  esmeril</t>
  </si>
  <si>
    <t>752225 Gravador de vidro a  jato de areia</t>
  </si>
  <si>
    <t>752230 Lapidador de vidros e cristais</t>
  </si>
  <si>
    <t>752235 Surfassagista</t>
  </si>
  <si>
    <t>752305 Ceramista</t>
  </si>
  <si>
    <t>752310 Ceramista (torno de pedal e motor)</t>
  </si>
  <si>
    <t>752315 Ceramista (torno semi-automático)</t>
  </si>
  <si>
    <t>752320 Ceramista modelador</t>
  </si>
  <si>
    <t>752325 Ceramista moldador</t>
  </si>
  <si>
    <t>752330 Ceramista prensador</t>
  </si>
  <si>
    <t>752405 Decorador de cerâmica</t>
  </si>
  <si>
    <t>752410 Decorador de vidro</t>
  </si>
  <si>
    <t>752415 Decorador de vidro à pincel</t>
  </si>
  <si>
    <t>752420 Operador de esmaltadeira</t>
  </si>
  <si>
    <t>752425 Operador de espelhamento</t>
  </si>
  <si>
    <t>752430 Pintor de cerâmica, a  pincel</t>
  </si>
  <si>
    <t>760105 Contramestre de acabamento (indústria têxtil)</t>
  </si>
  <si>
    <t>760110 Contramestre de fiação (indústria têxtil)</t>
  </si>
  <si>
    <t>760115 Contramestre de malharia (indústria têxtil)</t>
  </si>
  <si>
    <t>760120 Contramestre de tecelagem (indústria têxtil)</t>
  </si>
  <si>
    <t>760125 Mestre (indústria têxtil e de confecções)</t>
  </si>
  <si>
    <t>760205 Supervisor de curtimento</t>
  </si>
  <si>
    <t>760305 Encarregado de corte na confecção do vestuário</t>
  </si>
  <si>
    <t>760310 Encarregado de costura na confecção do vestuário</t>
  </si>
  <si>
    <t>760405 Supervisor  (indústria de calçados e artefatos de couro)</t>
  </si>
  <si>
    <t>760505 Supervisor da confecção de artefatos de tecidos, couros e afins</t>
  </si>
  <si>
    <t>760605 Supervisor das artes gráficas  (indústria editorial e gráfica)</t>
  </si>
  <si>
    <t>761005 Operador polivalente da indústria têxtil</t>
  </si>
  <si>
    <t>761105 Classificador de fibras têxteis</t>
  </si>
  <si>
    <t>761110 Lavador de lã</t>
  </si>
  <si>
    <t>761205 Operador de abertura (fiação)</t>
  </si>
  <si>
    <t>761210 Operador de binadeira</t>
  </si>
  <si>
    <t>761215 Operador de bobinadeira</t>
  </si>
  <si>
    <t>761220 Operador de cardas</t>
  </si>
  <si>
    <t>761225 Operador de conicaleira</t>
  </si>
  <si>
    <t>761230 Operador de filatório</t>
  </si>
  <si>
    <t>761235 Operador de laminadeira e reunideira</t>
  </si>
  <si>
    <t>761240 Operador de maçaroqueira</t>
  </si>
  <si>
    <t>761245 Operador de open-end</t>
  </si>
  <si>
    <t>761250 Operador de passador (fiação)</t>
  </si>
  <si>
    <t>761255 Operador de penteadeira</t>
  </si>
  <si>
    <t>761260 Operador de retorcedeira</t>
  </si>
  <si>
    <t>761303 Tecelão (redes)</t>
  </si>
  <si>
    <t>761306 Tecelão (rendas e bordados)</t>
  </si>
  <si>
    <t>761309 Tecelão (tear automático)</t>
  </si>
  <si>
    <t>761312 Tecelão (tear jacquard)</t>
  </si>
  <si>
    <t>761315 Tecelão (tear mecânico de maquineta)</t>
  </si>
  <si>
    <t>761318 Tecelão (tear mecânico de xadrez)</t>
  </si>
  <si>
    <t>761321 Tecelão (tear mecânico liso)</t>
  </si>
  <si>
    <t>761324 Tecelão (tear mecânico, exceto jacquard)</t>
  </si>
  <si>
    <t>761327 Tecelão de malhas, a  máquina</t>
  </si>
  <si>
    <t>761330 Tecelão de malhas (máquina circular)</t>
  </si>
  <si>
    <t>761333 Tecelão de malhas (máquina retilínea)</t>
  </si>
  <si>
    <t>761336 Tecelão de meias, a  máquina</t>
  </si>
  <si>
    <t>761339 Tecelão de meias (máquina circular)</t>
  </si>
  <si>
    <t>761342 Tecelão de meias (máquina retilínea)</t>
  </si>
  <si>
    <t>761345 Tecelão de tapetes, a  máquina</t>
  </si>
  <si>
    <t>761348 Operador de engomadeira de urdume</t>
  </si>
  <si>
    <t>761351 Operador de espuladeira</t>
  </si>
  <si>
    <t>761354 Operador de máquina de cordoalha</t>
  </si>
  <si>
    <t>761357 Operador de urdideira</t>
  </si>
  <si>
    <t>761360 Passamaneiro a  máquina</t>
  </si>
  <si>
    <t>761363 Remetedor de fios</t>
  </si>
  <si>
    <t>761366 Picotador de cartões jacquard</t>
  </si>
  <si>
    <t>761405 Alvejador (tecidos)</t>
  </si>
  <si>
    <t>761410 Estampador de tecido</t>
  </si>
  <si>
    <t>761415 Operador de calandras (tecidos)</t>
  </si>
  <si>
    <t>761420 Operador de chamuscadeira de tecidos</t>
  </si>
  <si>
    <t>761425 Operador de impermeabilizador de tecidos</t>
  </si>
  <si>
    <t>761430 Operador de máquina de lavar fios e tecidos</t>
  </si>
  <si>
    <t>761435 Operador de rameuse</t>
  </si>
  <si>
    <t>761805 Inspetor de estamparia (produção têxtil)</t>
  </si>
  <si>
    <t>761810 Revisor de fios (produção têxtil)</t>
  </si>
  <si>
    <t>761815 Revisor de tecidos acabados</t>
  </si>
  <si>
    <t>761820 Revisor de tecidos crus</t>
  </si>
  <si>
    <t>762005 Trabalhador polivalente do curtimento de couros e peles</t>
  </si>
  <si>
    <t>762105 Classificador de peles</t>
  </si>
  <si>
    <t>762110 Descarnador de couros e peles, à maquina</t>
  </si>
  <si>
    <t>762115 Estirador de couros e peles (preparação)</t>
  </si>
  <si>
    <t>762120 Fuloneiro</t>
  </si>
  <si>
    <t>762125 Rachador de couros e peles</t>
  </si>
  <si>
    <t>762205 Curtidor (couros e peles)</t>
  </si>
  <si>
    <t>762210 Classificador de couros</t>
  </si>
  <si>
    <t>762215 Enxugador de couros</t>
  </si>
  <si>
    <t>762220 Rebaixador de couros</t>
  </si>
  <si>
    <t>762305 Estirador de couros e peles (acabamento)</t>
  </si>
  <si>
    <t>762310 Fuloneiro no acabamento de couros e peles</t>
  </si>
  <si>
    <t>762315 Lixador de couros e peles</t>
  </si>
  <si>
    <t>762320 Matizador de couros e peles</t>
  </si>
  <si>
    <t>762325 Operador de máquinas do acabamento de couros e peles</t>
  </si>
  <si>
    <t>762330 Prensador de couros e peles</t>
  </si>
  <si>
    <t>762335 Palecionador de couros e peles</t>
  </si>
  <si>
    <t>762340 Preparador de couros curtidos</t>
  </si>
  <si>
    <t>762345 Vaqueador de couros e peles</t>
  </si>
  <si>
    <t>763005 Alfaiate</t>
  </si>
  <si>
    <t>763010 Costureira de peças sob encomenda</t>
  </si>
  <si>
    <t>763015 Costureira de reparação de roupas</t>
  </si>
  <si>
    <t>763020 Costureiro de roupa de couro e pele</t>
  </si>
  <si>
    <t>763105 Auxiliar de corte (preparação da confecção de roupas)</t>
  </si>
  <si>
    <t>763110 Cortador de roupas</t>
  </si>
  <si>
    <t>763115 Enfestador de roupas</t>
  </si>
  <si>
    <t>763120 Riscador de roupas</t>
  </si>
  <si>
    <t>763125 Ajudante de confecção</t>
  </si>
  <si>
    <t>763205 Costureiro de roupas de couro e pele, a  máquina na  confecção em série</t>
  </si>
  <si>
    <t>763210 Costureiro na confecção em série</t>
  </si>
  <si>
    <t>763215 Costureiro, a  máquina  na confecção em série</t>
  </si>
  <si>
    <t>763305 Arrematadeira</t>
  </si>
  <si>
    <t>763310 Bordador, à máquina</t>
  </si>
  <si>
    <t>763315 Marcador de peças confeccionadas para bordar</t>
  </si>
  <si>
    <t>763320 Operador de máquina de costura de acabamento</t>
  </si>
  <si>
    <t>763325 Passadeira de peças confeccionadas</t>
  </si>
  <si>
    <t>764005 Trabalhador polivalente da confecção de calçados</t>
  </si>
  <si>
    <t>764105 Cortador de calçados, a  máquina (exceto solas e palmilhas)</t>
  </si>
  <si>
    <t>764110 Cortador de solas e palmilhas, a  máquina</t>
  </si>
  <si>
    <t>764115 Preparador de calçados</t>
  </si>
  <si>
    <t>764120 Preparador de solas e palmilhas</t>
  </si>
  <si>
    <t>764205 Costurador de calçados, a  máquina</t>
  </si>
  <si>
    <t>764210 Montador de calçados</t>
  </si>
  <si>
    <t>764305 Acabador de calçados</t>
  </si>
  <si>
    <t>765005 Confeccionador de artefatos de couro (exceto sapatos)</t>
  </si>
  <si>
    <t>765010 Chapeleiro de senhoras</t>
  </si>
  <si>
    <t>765015 Boneleiro</t>
  </si>
  <si>
    <t>765105 Cortador de artefatos de couro (exceto roupas e calçados)</t>
  </si>
  <si>
    <t>765110 Cortador de tapeçaria</t>
  </si>
  <si>
    <t>765205 Colchoeiro (confecção de colchões)</t>
  </si>
  <si>
    <t>765215 Confeccionador de brinquedos de pano</t>
  </si>
  <si>
    <t>765225 Confeccionador de velas náuticas, barracas e toldos</t>
  </si>
  <si>
    <t>765230 Estofador de aviões</t>
  </si>
  <si>
    <t>765235 Estofador de móveis</t>
  </si>
  <si>
    <t>765240 Tapeceiro de autos</t>
  </si>
  <si>
    <t>765310 Costurador de artefatos de couro, a  máquina (exceto roupas e calçados)</t>
  </si>
  <si>
    <t>765315 Montador de artefatos de couro (exceto roupas e calçados)</t>
  </si>
  <si>
    <t>765405 Trabalhador do acabamento de artefatos de tecidos e couros</t>
  </si>
  <si>
    <t>766105 Copiador de chapa</t>
  </si>
  <si>
    <t>766115 Gravador de matriz para flexografia (clicherista)</t>
  </si>
  <si>
    <t>766120 Editor de texto e imagem</t>
  </si>
  <si>
    <t>766125 Montador de fotolito (analógico e digital)</t>
  </si>
  <si>
    <t>766130 Gravador de matriz para rotogravura (eletromecânico e químico)</t>
  </si>
  <si>
    <t>766135 Gravador de matriz calcográfica</t>
  </si>
  <si>
    <t>766140 Gravador de matriz serigráfica</t>
  </si>
  <si>
    <t>766145 Operador de sistemas de prova (analógico e digital)</t>
  </si>
  <si>
    <t>766150 Operador de processo de tratamento de imagem</t>
  </si>
  <si>
    <t>766155 Programador visual gráfico</t>
  </si>
  <si>
    <t>766205 Impressor (serigrafia)</t>
  </si>
  <si>
    <t>766210 Impressor calcográfico</t>
  </si>
  <si>
    <t>766215 Impressor de ofsete (plano e rotativo)</t>
  </si>
  <si>
    <t>766220 Impressor de rotativa</t>
  </si>
  <si>
    <t>766225 Impressor de rotogravura</t>
  </si>
  <si>
    <t>766230 Impressor digital</t>
  </si>
  <si>
    <t>766235 Impressor flexográfico</t>
  </si>
  <si>
    <t>766240 Impressor letterset</t>
  </si>
  <si>
    <t>766245 Impressor tampográfico</t>
  </si>
  <si>
    <t>766250 Impressor tipográfico</t>
  </si>
  <si>
    <t>766305 Acabador de embalagens (flexíveis e cartotécnicas)</t>
  </si>
  <si>
    <t>766310 Impressor de corte e vinco</t>
  </si>
  <si>
    <t>766315 Operador de acabamento (indústria gráfica)</t>
  </si>
  <si>
    <t>766320 Operador de guilhotina (corte de papel)</t>
  </si>
  <si>
    <t>766325 Preparador de matrizes de corte e vinco</t>
  </si>
  <si>
    <t>766405 Laboratorista fotográfico</t>
  </si>
  <si>
    <t>766410 Revelador de filmes fotográficos, em preto e branco</t>
  </si>
  <si>
    <t>766415 Revelador de filmes fotográficos, em cores</t>
  </si>
  <si>
    <t>766420 Auxiliar de radiologia (revelação fotográfica)</t>
  </si>
  <si>
    <t>768105 Tecelão (tear manual)</t>
  </si>
  <si>
    <t>768110 Tecelão de tapetes, a  mão</t>
  </si>
  <si>
    <t>768115 Tricoteiro, à mão</t>
  </si>
  <si>
    <t>768120 Redeiro</t>
  </si>
  <si>
    <t>768125 Chapeleiro (chapéus de palha)</t>
  </si>
  <si>
    <t>768130 Crocheteiro, a  mão</t>
  </si>
  <si>
    <t>768205 Bordador, a  mão</t>
  </si>
  <si>
    <t>768210 Cerzidor</t>
  </si>
  <si>
    <t>768305 Artífice do couro</t>
  </si>
  <si>
    <t>768310 Cortador de calçados, a  mão (exceto solas)</t>
  </si>
  <si>
    <t>768315 Costurador de artefatos de couro, a  mão (exceto roupas e calçados)</t>
  </si>
  <si>
    <t>768320 Sapateiro (calçados sob medida)</t>
  </si>
  <si>
    <t>768325 Seleiro</t>
  </si>
  <si>
    <t>768605 Tipógrafo</t>
  </si>
  <si>
    <t>768610 Linotipista</t>
  </si>
  <si>
    <t>768615 Monotipista</t>
  </si>
  <si>
    <t>768620 Paginador</t>
  </si>
  <si>
    <t>768625 Pintor de letreiros</t>
  </si>
  <si>
    <t>768630 Confeccionador de carimbos de borracha</t>
  </si>
  <si>
    <t>768705 Gravador, à mão (encadernação)</t>
  </si>
  <si>
    <t>768710 Restaurador de livros</t>
  </si>
  <si>
    <t>770105 Mestre (indústria de madeira e mobiliário)</t>
  </si>
  <si>
    <t>770110 Mestre carpinteiro</t>
  </si>
  <si>
    <t>771105 Marceneiro</t>
  </si>
  <si>
    <t>771110 Modelador de madeira</t>
  </si>
  <si>
    <t>771115 Maquetista na marcenaria</t>
  </si>
  <si>
    <t>771120 Tanoeiro</t>
  </si>
  <si>
    <t>772105 Classificador de madeira</t>
  </si>
  <si>
    <t>772110 Impregnador de madeira</t>
  </si>
  <si>
    <t>772115 Secador de madeira</t>
  </si>
  <si>
    <t>773105 Cortador de laminados de madeira</t>
  </si>
  <si>
    <t>773110 Operador de serras no desdobramento de madeira</t>
  </si>
  <si>
    <t>773115 Serrador de bordas no desdobramento de madeira</t>
  </si>
  <si>
    <t>773120 Serrador de madeira</t>
  </si>
  <si>
    <t>773125 Serrador de madeira (serra circular múltipla)</t>
  </si>
  <si>
    <t>773130 Serrador de madeira (serra de fita múltipla)</t>
  </si>
  <si>
    <t>773205 Operador de máquina intercaladora de placas (compensados)</t>
  </si>
  <si>
    <t>773210 Prensista de aglomerados</t>
  </si>
  <si>
    <t>773215 Prensista de compensados</t>
  </si>
  <si>
    <t>773220 Preparador de aglomerantes</t>
  </si>
  <si>
    <t>773305 Operador de desempenadeira na usinagem convencional de madeira</t>
  </si>
  <si>
    <t>773310 Operador de entalhadeira (usinagem de madeira)</t>
  </si>
  <si>
    <t>773315 Operador de fresadora (usinagem de madeira)</t>
  </si>
  <si>
    <t>773320 Operador de lixadeira (usinagem de madeira)</t>
  </si>
  <si>
    <t>773325 Operador de máquina de usinagem madeira, em geral</t>
  </si>
  <si>
    <t>773330 Operador de molduradora (usinagem de madeira)</t>
  </si>
  <si>
    <t>773335 Operador de plaina desengrossadeira</t>
  </si>
  <si>
    <t>773340 Operador de serras (usinagem de madeira)</t>
  </si>
  <si>
    <t>773345 Operador de torno automático (usinagem de madeira)</t>
  </si>
  <si>
    <t>773350 Operador de tupia (usinagem de madeira)</t>
  </si>
  <si>
    <t>773355 Torneiro na usinagem convencional de madeira</t>
  </si>
  <si>
    <t>773405 Operador de máquina bordatriz</t>
  </si>
  <si>
    <t>773410 Operador de máquina de cortina d´água (produção de móveis)</t>
  </si>
  <si>
    <t>773415 Operador de máquina de usinagem de madeira (produção em série)</t>
  </si>
  <si>
    <t>773420 Operador de prensa de alta freqüência na usinagem de madeira</t>
  </si>
  <si>
    <t>773505 Operador de centro de usinagem de madeira (cnc)</t>
  </si>
  <si>
    <t>773510 Operador de máquinas de usinar madeira (cnc)</t>
  </si>
  <si>
    <t>774105 Montador de móveis e artefatos de madeira</t>
  </si>
  <si>
    <t>775105 Entalhador  de madeira</t>
  </si>
  <si>
    <t>775110 Folheador de móveis de madeira</t>
  </si>
  <si>
    <t>775115 Lustrador de peças de madeira</t>
  </si>
  <si>
    <t>775120 Marcheteiro</t>
  </si>
  <si>
    <t>776405 Cesteiro</t>
  </si>
  <si>
    <t>776410 Confeccionador de escovas, pincéis e produtos similares (a mão)</t>
  </si>
  <si>
    <t>776415 Confeccionador de escovas, pincéis e produtos similares (a máquina)</t>
  </si>
  <si>
    <t>776420 Confeccionador de móveis de vime, junco e bambu</t>
  </si>
  <si>
    <t>776425 Esteireiro</t>
  </si>
  <si>
    <t>776430 Vassoureiro</t>
  </si>
  <si>
    <t>777105 Carpinteiro naval (construção de pequenas embarcações)</t>
  </si>
  <si>
    <t>777110 Carpinteiro naval (embarcações)</t>
  </si>
  <si>
    <t>777115 Carpinteiro naval (estaleiros)</t>
  </si>
  <si>
    <t>777205 Carpinteiro de carretas</t>
  </si>
  <si>
    <t>777210 Carpinteiro de carrocerias</t>
  </si>
  <si>
    <t>780105 Supervisor de embalagem e etiquetagem</t>
  </si>
  <si>
    <t>781105 Condutor de processos robotizados de pintura</t>
  </si>
  <si>
    <t>781110 Condutor de processos robotizados de soldagem</t>
  </si>
  <si>
    <t>781305 Operador de veículos subaquáticos controlados remotamente</t>
  </si>
  <si>
    <t>781310 Operador de aeronaves não tripuladas</t>
  </si>
  <si>
    <t>781705 Mergulhador profissional (raso e profundo)</t>
  </si>
  <si>
    <t>782105 Operador de draga</t>
  </si>
  <si>
    <t>782110 Operador de guindaste (fixo)</t>
  </si>
  <si>
    <t>782115 Operador de guindaste móvel</t>
  </si>
  <si>
    <t>782120 Operador de máquina rodoferroviária</t>
  </si>
  <si>
    <t>782125 Operador de monta-cargas (construção civil)</t>
  </si>
  <si>
    <t>782130 Operador de ponte rolante</t>
  </si>
  <si>
    <t>782135 Operador de pórtico rolante</t>
  </si>
  <si>
    <t>782140 Operador de talha elétrica</t>
  </si>
  <si>
    <t>782145 Sinaleiro (ponte-rolante)</t>
  </si>
  <si>
    <t>782205 Guincheiro (construção civil)</t>
  </si>
  <si>
    <t>782210 Operador de docagem</t>
  </si>
  <si>
    <t>782220 Operador de empilhadeira</t>
  </si>
  <si>
    <t>782305 Motorista de carro de passeio</t>
  </si>
  <si>
    <t>782310 Motorista de furgão ou veículo similar</t>
  </si>
  <si>
    <t>782315 Motorista de táxi</t>
  </si>
  <si>
    <t>782320 Condutor de ambulância</t>
  </si>
  <si>
    <t>782405 Motorista de ônibus rodoviário</t>
  </si>
  <si>
    <t>782410 Motorista de ônibus urbano</t>
  </si>
  <si>
    <t>782415 Motorista de trólebus</t>
  </si>
  <si>
    <t>782505 Caminhoneiro autônomo (rotas regionais e internacionais)</t>
  </si>
  <si>
    <t>782510 Motorista de caminhão (rotas regionais e internacionais)</t>
  </si>
  <si>
    <t>782515 Motorista operacional de guincho</t>
  </si>
  <si>
    <t>782605 Operador de trem de metrô</t>
  </si>
  <si>
    <t>782610 Maquinista de trem</t>
  </si>
  <si>
    <t>782615 Maquinista de trem metropolitano</t>
  </si>
  <si>
    <t>782620 Motorneiro</t>
  </si>
  <si>
    <t>782625 Auxiliar de maquinista de trem</t>
  </si>
  <si>
    <t>782630 Operador de teleférico (passageiros)</t>
  </si>
  <si>
    <t>782705 Marinheiro de convés (marítimo e fluviário)</t>
  </si>
  <si>
    <t>782710 Marinheiro de máquinas</t>
  </si>
  <si>
    <t>782715 Moço de convés (marítimo e fluviário)</t>
  </si>
  <si>
    <t>782720 Moço de máquinas (marítimo e fluviário)</t>
  </si>
  <si>
    <t>782725 Marinheiro de esporte e recreio</t>
  </si>
  <si>
    <t>782730 Marinheiro auxiliar de convés (marítimo e aquaviario)</t>
  </si>
  <si>
    <t>782735 Marinheiro auxiliar de máquinas (marítimo e aquaviário)</t>
  </si>
  <si>
    <t>782805 Condutor de veículos de tração animal (ruas e estradas)</t>
  </si>
  <si>
    <t>782810 Tropeiro</t>
  </si>
  <si>
    <t>782815 Boiadeiro</t>
  </si>
  <si>
    <t>782820 Condutor de veículos a pedais</t>
  </si>
  <si>
    <t>783105 Agente de pátio</t>
  </si>
  <si>
    <t>783110 Manobrador</t>
  </si>
  <si>
    <t>783205 Carregador (aeronaves)</t>
  </si>
  <si>
    <t>783210 Carregador (armazém)</t>
  </si>
  <si>
    <t>783215 Carregador (veículos de transportes terrestres)</t>
  </si>
  <si>
    <t>783220 Estivador</t>
  </si>
  <si>
    <t>783225 Ajudante de motorista</t>
  </si>
  <si>
    <t>783230 Bloqueiro (trabalhador portuário)</t>
  </si>
  <si>
    <t>783235 Trabalhador portuário de capatazia</t>
  </si>
  <si>
    <t>783240 Amarrador e desamarrado de embarcações</t>
  </si>
  <si>
    <t>784105 Embalador, a mão</t>
  </si>
  <si>
    <t>784110 Embalador, a máquina</t>
  </si>
  <si>
    <t>784115 Operador de máquina de etiquetar</t>
  </si>
  <si>
    <t>784120 Operador de máquina de envasar líquidos</t>
  </si>
  <si>
    <t>784125 Operador de prensa de enfardamento</t>
  </si>
  <si>
    <t>784205 Alimentador de linha de produção</t>
  </si>
  <si>
    <t>791105 Artesão bordador</t>
  </si>
  <si>
    <t>791110 Artesão ceramista</t>
  </si>
  <si>
    <t>791115 Artesão com material reciclável</t>
  </si>
  <si>
    <t>791120 Artesão confeccionador de biojóias e ecojóias</t>
  </si>
  <si>
    <t>791125 Artesão do couro</t>
  </si>
  <si>
    <t>791130 Artesão escultor</t>
  </si>
  <si>
    <t>791135 Artesão moveleiro (exceto reciclado)</t>
  </si>
  <si>
    <t>791140 Artesão tecelão</t>
  </si>
  <si>
    <t>791145 Artesão trançador</t>
  </si>
  <si>
    <t>791150 Artesão crocheteiro</t>
  </si>
  <si>
    <t>791155 Artesão tricoteiro</t>
  </si>
  <si>
    <t>791160 Artesão rendeiro</t>
  </si>
  <si>
    <t>810105 Mestre (indústria petroquímica e carboquímica)</t>
  </si>
  <si>
    <t>810110 Mestre de produção química</t>
  </si>
  <si>
    <t>810205 Mestre (indústria de borracha e plástico)</t>
  </si>
  <si>
    <t>810305 Mestre de produção farmacêutica</t>
  </si>
  <si>
    <t>811005 Operador de processos químicos e petroquímicos</t>
  </si>
  <si>
    <t>811010 Operador de sala de controle de instalações químicas, petroquímicas e afins</t>
  </si>
  <si>
    <t>811105 Moleiro (tratamentos químicos e afins)</t>
  </si>
  <si>
    <t>811110 Operador de máquina misturadeira (tratamentos químicos e afins)</t>
  </si>
  <si>
    <t>811115 Operador de britadeira (tratamentos químicos e afins)</t>
  </si>
  <si>
    <t>811120 Operador de concentração</t>
  </si>
  <si>
    <t>811125 Trabalhador da fabricação de resinas e vernizes</t>
  </si>
  <si>
    <t>811130 Trabalhador de fabricação de tintas</t>
  </si>
  <si>
    <t>811205 Operador de calcinação (tratamento químico e afins)</t>
  </si>
  <si>
    <t>811215 Operador de tratamento químico de materiais radioativos</t>
  </si>
  <si>
    <t>811305 Operador de centrifugadora (tratamentos químicos e afins)</t>
  </si>
  <si>
    <t>811310 Operador de exploração de petróleo</t>
  </si>
  <si>
    <t>811315 Operador de filtro de secagem (mineração)</t>
  </si>
  <si>
    <t>811320 Operador de filtro de tambor rotativo (tratamentos químicos e afins)</t>
  </si>
  <si>
    <t>811325 Operador de filtro-esteira (mineração)</t>
  </si>
  <si>
    <t>811330 Operador de filtro-prensa (tratamentos químicos e afins)</t>
  </si>
  <si>
    <t>811335 Operador de filtros de parafina (tratamentos químicos e afins)</t>
  </si>
  <si>
    <t>811405 Destilador de madeira</t>
  </si>
  <si>
    <t>811410 Destilador de produtos químicos (exceto petróleo)</t>
  </si>
  <si>
    <t>811415 Operador de alambique de funcionamento contínuo (produtos químicos, exceto petróleo)</t>
  </si>
  <si>
    <t>811420 Operador de aparelho de reação e conversão (produtos químicos, exceto petróleo)</t>
  </si>
  <si>
    <t>811425 Operador de equipamento de destilação de álcool</t>
  </si>
  <si>
    <t>811430 Operador de evaporador na destilação</t>
  </si>
  <si>
    <t>811505 Operador de painel de controle (refinação de petróleo)</t>
  </si>
  <si>
    <t>811510 Operador de transferência e estocagem - na refinação do petróleo</t>
  </si>
  <si>
    <t>811605 Operador de britador de coque</t>
  </si>
  <si>
    <t>811610 Operador de carro de apagamento e coque</t>
  </si>
  <si>
    <t>811615 Operador de destilação e subprodutos de coque</t>
  </si>
  <si>
    <t>811620 Operador de enfornamento e desenfornamento de coque</t>
  </si>
  <si>
    <t>811625 Operador de exaustor (coqueria)</t>
  </si>
  <si>
    <t>811630 Operador de painel de controle</t>
  </si>
  <si>
    <t>811635 Operador de preservação e controle térmico</t>
  </si>
  <si>
    <t>811640 Operador de reator de coque de petróleo</t>
  </si>
  <si>
    <t>811645 Operador de refrigeração (coqueria)</t>
  </si>
  <si>
    <t>811650 Operador de sistema de reversão (coqueria)</t>
  </si>
  <si>
    <t>811705 Bamburista</t>
  </si>
  <si>
    <t>811710 Calandrista de borracha</t>
  </si>
  <si>
    <t>811715 Confeccionador de pneumáticos</t>
  </si>
  <si>
    <t>811725 Confeccionador de velas por imersão</t>
  </si>
  <si>
    <t>811735 Confeccionador de velas por moldagem</t>
  </si>
  <si>
    <t>811745 Laminador de plástico</t>
  </si>
  <si>
    <t>811750 Moldador de borracha por compressão</t>
  </si>
  <si>
    <t>811760 Moldador de plástico por compressão</t>
  </si>
  <si>
    <t>811770 Moldador de plástico por injeção</t>
  </si>
  <si>
    <t>811775 Trefilador de borracha</t>
  </si>
  <si>
    <t>811805 Operador de máquina de produtos farmacêuticos</t>
  </si>
  <si>
    <t>811810 Drageador (medicamentos)</t>
  </si>
  <si>
    <t>811815 Operador de máquina de fabricação de cosméticos</t>
  </si>
  <si>
    <t>811820 Operador de máquina de fabricação de produtos de higiene e limpeza (sabão, sabonete, detergente, absorvente, fraldas cotonetes e outros)</t>
  </si>
  <si>
    <t>812105 Pirotécnico</t>
  </si>
  <si>
    <t>812110 Trabalhador da fabricação de munição e explosivos</t>
  </si>
  <si>
    <t>813105 Cilindrista (petroquímica e afins)</t>
  </si>
  <si>
    <t>813110 Operador de calandra (química, petroquímica e afins)</t>
  </si>
  <si>
    <t>813115 Operador de extrusora (química, petroquímica e afins)</t>
  </si>
  <si>
    <t>813120 Operador de processo (química, petroquímica e afins)</t>
  </si>
  <si>
    <t>813125 Operador de produção (química, petroquímica e afins)</t>
  </si>
  <si>
    <t>813130 Técnico de operação (química, petroquímica e afins)</t>
  </si>
  <si>
    <t>818105 Assistente de laboratório industrial</t>
  </si>
  <si>
    <t>818110 Auxiliar de laboratório de análises físico-químicas</t>
  </si>
  <si>
    <t>820105 Mestre de siderurgia</t>
  </si>
  <si>
    <t>820110 Mestre de aciaria</t>
  </si>
  <si>
    <t>820115 Mestre de alto-forno</t>
  </si>
  <si>
    <t>820120 Mestre de forno elétrico</t>
  </si>
  <si>
    <t>820125 Mestre de laminação</t>
  </si>
  <si>
    <t>820205 Supervisor de fabricação de produtos cerâmicos, porcelanatos e afins</t>
  </si>
  <si>
    <t>820210 Supervisor de fabricação de produtos de vidro</t>
  </si>
  <si>
    <t>821105 Operador de centro de controle ( sinterização)</t>
  </si>
  <si>
    <t>821110 Operador de máquina de sinterizar</t>
  </si>
  <si>
    <t>821205 Forneiro e operador (alto-forno)</t>
  </si>
  <si>
    <t>821210 Forneiro e operador (conversor a oxigênio)</t>
  </si>
  <si>
    <t>821215 Forneiro e operador (forno elétrico)</t>
  </si>
  <si>
    <t>821220 Forneiro e operador (refino de metais não-ferrosos)</t>
  </si>
  <si>
    <t>821225 Forneiro e operador de forno de redução direta</t>
  </si>
  <si>
    <t>821230 Operador de aciaria (basculamento de convertedor)</t>
  </si>
  <si>
    <t>821235 Operador de aciaria (dessulfuração de gusa)</t>
  </si>
  <si>
    <t>821240 Operador de aciaria (recebimento de gusa)</t>
  </si>
  <si>
    <t>821245 Operador de área de corrida</t>
  </si>
  <si>
    <t>821250 Operador de desgaseificação</t>
  </si>
  <si>
    <t>821255 Soprador de convertedor</t>
  </si>
  <si>
    <t>821305 Operador de laminador</t>
  </si>
  <si>
    <t>821310 Operador de laminador de barras a frio</t>
  </si>
  <si>
    <t>821315 Operador de laminador de barras a quente</t>
  </si>
  <si>
    <t>821320 Operador de laminador de metais não-ferrosos</t>
  </si>
  <si>
    <t>821325 Operador de laminador de tubos</t>
  </si>
  <si>
    <t>821330 Operador de montagem de cilindros e mancais</t>
  </si>
  <si>
    <t>821335 Recuperador de guias e cilindros</t>
  </si>
  <si>
    <t>821405 Encarregado de acabamento de chapas e metais  (têmpera)</t>
  </si>
  <si>
    <t>821410 Escarfador</t>
  </si>
  <si>
    <t>821415 Marcador de produtos (siderúrgico e metalúrgico)</t>
  </si>
  <si>
    <t>821420 Operador de bobinadeira de tiras a quente, no acabamento de chapas e metais</t>
  </si>
  <si>
    <t>821425 Operador de cabine de laminação (fio-máquina)</t>
  </si>
  <si>
    <t>821430 Operador de escória e sucata</t>
  </si>
  <si>
    <t>821435 Operador de jato abrasivo</t>
  </si>
  <si>
    <t>821440 Operador de tesoura mecânica e máquina de corte, no acabamento de chapas e metais</t>
  </si>
  <si>
    <t>821445 Preparador de sucata e aparas</t>
  </si>
  <si>
    <t>821450 Rebarbador de metal</t>
  </si>
  <si>
    <t>822105 Forneiro de cubilô</t>
  </si>
  <si>
    <t>822110 Forneiro de forno-poço</t>
  </si>
  <si>
    <t>822115 Forneiro de fundição (forno de redução)</t>
  </si>
  <si>
    <t>822120 Forneiro de reaquecimento e tratamento térmico na metalurgia</t>
  </si>
  <si>
    <t>822125 Forneiro de revérbero</t>
  </si>
  <si>
    <t>823105 Preparador de massa (fabricação de abrasivos)</t>
  </si>
  <si>
    <t>823110 Preparador de massa (fabricação de vidro)</t>
  </si>
  <si>
    <t>823115 Preparador de massa de argila</t>
  </si>
  <si>
    <t>823120 Preparador de barbotina</t>
  </si>
  <si>
    <t>823125 Preparador de esmaltes (cerâmica)</t>
  </si>
  <si>
    <t>823130 Preparador de aditivos</t>
  </si>
  <si>
    <t>823135 Operador de atomizador</t>
  </si>
  <si>
    <t>823210 Extrusor de fios ou fibras de vidro</t>
  </si>
  <si>
    <t>823215 Forneiro na fundição de vidro</t>
  </si>
  <si>
    <t>823220 Forneiro no recozimento de vidro</t>
  </si>
  <si>
    <t>823230 Moldador de abrasivos na fabricação de cerâmica, vidro e porcelana</t>
  </si>
  <si>
    <t>823235 Operador de banho metálico de vidro por flutuação</t>
  </si>
  <si>
    <t>823240 Operador de máquina de soprar vidro</t>
  </si>
  <si>
    <t>823245 Operador de máquina extrusora de varetas e tubos de vidro</t>
  </si>
  <si>
    <t>823250 Operador de prensa de moldar vidro</t>
  </si>
  <si>
    <t>823255 Temperador de vidro</t>
  </si>
  <si>
    <t>823265 Trabalhador na fabricação de produtos abrasivos</t>
  </si>
  <si>
    <t>823305 Classificador e empilhador de tijolos refratários</t>
  </si>
  <si>
    <t>823315 Forneiro (materiais de construção)</t>
  </si>
  <si>
    <t>823320 Trabalhador da elaboração de pré-fabricados (cimento amianto)</t>
  </si>
  <si>
    <t>823325 Trabalhador da elaboração de pré-fabricados (concreto armado)</t>
  </si>
  <si>
    <t>823330 Trabalhador da fabricação de pedras artificiais</t>
  </si>
  <si>
    <t>828105 Oleiro (fabricação de telhas)</t>
  </si>
  <si>
    <t>828110 Oleiro (fabricação de tijolos)</t>
  </si>
  <si>
    <t>830105 Mestre (indústria de celulose, papel e papelão)</t>
  </si>
  <si>
    <t>831105 Cilindreiro na preparação de pasta para fabricação de papel</t>
  </si>
  <si>
    <t>831110 Operador de branqueador de pasta para fabricação de papel</t>
  </si>
  <si>
    <t>831115 Operador de digestor de pasta para fabricação de papel</t>
  </si>
  <si>
    <t>831120 Operador de lavagem e depuração de pasta para fabricação de papel</t>
  </si>
  <si>
    <t>831125 Operador de máquina de secar celulose</t>
  </si>
  <si>
    <t>832105 Calandrista de papel</t>
  </si>
  <si>
    <t>832110 Operador de cortadeira de papel</t>
  </si>
  <si>
    <t>832115 Operador de máquina de fabricar papel  (fase úmida)</t>
  </si>
  <si>
    <t>832120 Operador de máquina de fabricar papel (fase seca)</t>
  </si>
  <si>
    <t>832125 Operador de máquina de fabricar papel e papelão</t>
  </si>
  <si>
    <t>832135 Operador de rebobinadeira na fabricação de papel e papelão</t>
  </si>
  <si>
    <t>833105 Cartonageiro, a máquina</t>
  </si>
  <si>
    <t>833110 Confeccionador de bolsas, sacos e sacolas e papel, a máquina</t>
  </si>
  <si>
    <t>833115 Confeccionador de sacos de celofane, a máquina</t>
  </si>
  <si>
    <t>833120 Operador de máquina de cortar e dobrar papelão</t>
  </si>
  <si>
    <t>833125 Operador de prensa de embutir papelão</t>
  </si>
  <si>
    <t>833205 Cartonageiro, a mão (caixas de papelão)</t>
  </si>
  <si>
    <t>840105 Supervisor de produção da indústria alimentícia</t>
  </si>
  <si>
    <t>840110 Supervisor da indústria de bebidas</t>
  </si>
  <si>
    <t>840115 Supervisor da indústria de fumo</t>
  </si>
  <si>
    <t>840120 Chefe de confeitaria</t>
  </si>
  <si>
    <t>841105 Moleiro de cereais (exceto arroz)</t>
  </si>
  <si>
    <t>841110 Moleiro de especiarias</t>
  </si>
  <si>
    <t>841115 Operador de processo de moagem</t>
  </si>
  <si>
    <t>841205 Moedor de sal</t>
  </si>
  <si>
    <t>841210 Refinador de sal</t>
  </si>
  <si>
    <t>841305 Operador de cristalização na refinação de açucar</t>
  </si>
  <si>
    <t>841310 Operador de equipamentos de refinação de açúcar (processo contínuo)</t>
  </si>
  <si>
    <t>841315 Operador de moenda na fabricação de açúcar</t>
  </si>
  <si>
    <t>841320 Operador de tratamento de calda na refinação de açúcar</t>
  </si>
  <si>
    <t>841408 Cozinhador (conservação de alimentos)</t>
  </si>
  <si>
    <t>841416 Cozinhador de carnes</t>
  </si>
  <si>
    <t>841420 Cozinhador de frutas e legumes</t>
  </si>
  <si>
    <t>841428 Cozinhador de pescado</t>
  </si>
  <si>
    <t>841432 Desidratador de alimentos</t>
  </si>
  <si>
    <t>841440 Esterilizador de alimentos</t>
  </si>
  <si>
    <t>841444 Hidrogenador de óleos e gorduras</t>
  </si>
  <si>
    <t>841448 Lagareiro</t>
  </si>
  <si>
    <t>841456 Operador de câmaras frias</t>
  </si>
  <si>
    <t>841460 Operador de preparação de grãos vegetais (óleos e gorduras)</t>
  </si>
  <si>
    <t>841464 Prensador de frutas (exceto oleaginosas)</t>
  </si>
  <si>
    <t>841468 Preparador de rações</t>
  </si>
  <si>
    <t>841472 Refinador de óleo e gordura</t>
  </si>
  <si>
    <t>841476 Trabalhador de fabricação de margarina</t>
  </si>
  <si>
    <t>841484 Trabalhador de preparação de pescados (limpeza)</t>
  </si>
  <si>
    <t>841505 Trabalhador de tratamento do leite e fabricação de laticínios e afins</t>
  </si>
  <si>
    <t>841605 Misturador de café</t>
  </si>
  <si>
    <t>841610 Torrador de café</t>
  </si>
  <si>
    <t>841615 Moedor de café</t>
  </si>
  <si>
    <t>841620 Operador de extração de café solúvel</t>
  </si>
  <si>
    <t>841625 Torrador de cacau</t>
  </si>
  <si>
    <t>841630 Misturador de chá ou mate</t>
  </si>
  <si>
    <t>841705 Alambiqueiro</t>
  </si>
  <si>
    <t>841710 Filtrador de cerveja</t>
  </si>
  <si>
    <t>841715 Fermentador</t>
  </si>
  <si>
    <t>841720 Trabalhador de fabricação de vinhos</t>
  </si>
  <si>
    <t>841725 Malteiro (germinação)</t>
  </si>
  <si>
    <t>841730 Cozinhador de malte</t>
  </si>
  <si>
    <t>841735 Dessecador de malte</t>
  </si>
  <si>
    <t>841740 Vinagreiro</t>
  </si>
  <si>
    <t>841745 Xaropeiro</t>
  </si>
  <si>
    <t>841805 Operador de forno (fabricação de pães, biscoitos e similares)</t>
  </si>
  <si>
    <t>841810 Operador de máquinas de fabricação de doces, salgados e massas alimentícias</t>
  </si>
  <si>
    <t>841815 Operador de máquinas de fabricação de chocolates e achocolatados</t>
  </si>
  <si>
    <t>842105 Preparador de melado e essência de fumo</t>
  </si>
  <si>
    <t>842110 Processador de fumo</t>
  </si>
  <si>
    <t>842115 Classificador de fumo</t>
  </si>
  <si>
    <t>842120 Auxiliar de processamento de fumo</t>
  </si>
  <si>
    <t>842125 Operador de máquina (fabricação de cigarros)</t>
  </si>
  <si>
    <t>842135 Operador de máquina de preparação de matéria prima para produção de cigarros</t>
  </si>
  <si>
    <t>842205 Preparador de fumo na fabricação de charutos</t>
  </si>
  <si>
    <t>842210 Operador de máquina de fabricar charutos e cigarrilhas</t>
  </si>
  <si>
    <t>842215 Classificador de charutos</t>
  </si>
  <si>
    <t>842220 Cortador de charutos</t>
  </si>
  <si>
    <t>842225 Celofanista na fabricação de charutos</t>
  </si>
  <si>
    <t>842230 Charuteiro a mão</t>
  </si>
  <si>
    <t>842235 Degustador de charutos</t>
  </si>
  <si>
    <t>848105 Defumador de carnes e pescados</t>
  </si>
  <si>
    <t>848110 Salgador de alimentos</t>
  </si>
  <si>
    <t>848115 Salsicheiro (fabricação de lingüiça, salsicha e produtos similares)</t>
  </si>
  <si>
    <t>848205 Pasteurizador</t>
  </si>
  <si>
    <t>848210 Queijeiro na fabricação de laticínio</t>
  </si>
  <si>
    <t>848215 Manteigueiro na fabricação de laticínio</t>
  </si>
  <si>
    <t>848305 Padeiro</t>
  </si>
  <si>
    <t>848310 Confeiteiro</t>
  </si>
  <si>
    <t>848315 Masseiro (massas alimentícias)</t>
  </si>
  <si>
    <t>848325 Trabalhador de fabricação de sorvete</t>
  </si>
  <si>
    <t>848405 Degustador de café</t>
  </si>
  <si>
    <t>848410 Degustador de chá</t>
  </si>
  <si>
    <t>848415 Degustador de derivados de cacau</t>
  </si>
  <si>
    <t>848420 Degustador de vinhos ou licores</t>
  </si>
  <si>
    <t>848425 Classificador de grãos</t>
  </si>
  <si>
    <t>848505 Abatedor</t>
  </si>
  <si>
    <t>848510 Açougueiro</t>
  </si>
  <si>
    <t>848515 Desossador</t>
  </si>
  <si>
    <t>848520 Magarefe</t>
  </si>
  <si>
    <t>848525 Retalhador de carne</t>
  </si>
  <si>
    <t>848605 Trabalhador do beneficiamento de fumo</t>
  </si>
  <si>
    <t>860105 Supervisor de manutenção eletromecânica (utilidades)</t>
  </si>
  <si>
    <t>860110 Supervisor de operação de fluidos (distribuição, captação, tratamento de água, gases, vapor)</t>
  </si>
  <si>
    <t>860115 Supervisor de operação elétrica (geração, transmissão e distribuição de energia elétrica)</t>
  </si>
  <si>
    <t>861105 Operador de central hidrelétrica</t>
  </si>
  <si>
    <t>861110 Operador de quadro de distribuição de energia elétrica</t>
  </si>
  <si>
    <t>861115 Operador de central termoelétrica</t>
  </si>
  <si>
    <t>861120 Operador de reator nuclear</t>
  </si>
  <si>
    <t>861205 Operador de subestação</t>
  </si>
  <si>
    <t>862105 Foguista (locomotivas a vapor)</t>
  </si>
  <si>
    <t>862110 Maquinista de embarcações</t>
  </si>
  <si>
    <t>862115 Operador de bateria de gás de hulha</t>
  </si>
  <si>
    <t>862120 Operador de caldeira</t>
  </si>
  <si>
    <t>862130 Operador de compressor de ar</t>
  </si>
  <si>
    <t>862140 Operador de estação de bombeamento</t>
  </si>
  <si>
    <t>862150 Operador de máquinas fixas, em geral</t>
  </si>
  <si>
    <t>862155 Operador de utilidade (produção e distribuição de vapor, gás, óleo, combustível, energia, oxigênio)</t>
  </si>
  <si>
    <t>862160 Operador de abastecimento de combustível de aeronave</t>
  </si>
  <si>
    <t>862205 Operador de estação de captação, tratamento e distribuição de água</t>
  </si>
  <si>
    <t>862305 Operador de estação de tratamento de água e efluentes</t>
  </si>
  <si>
    <t>862310 Operador de forno de incineração no tratamento de água, efluentes e resíduos industriais</t>
  </si>
  <si>
    <t>862405 Operador de instalação de extração, processamento, envasamento e distribuição de gases</t>
  </si>
  <si>
    <t>862505 Operador de instalação de refrigeração</t>
  </si>
  <si>
    <t>862510 Operador de refrigeração com amônia</t>
  </si>
  <si>
    <t>862515 Operador de instalação de ar-condicionado</t>
  </si>
  <si>
    <t>910105 Encarregado de manutenção mecânica de sistemas operacionais</t>
  </si>
  <si>
    <t>910110 Supervisor de manutenção de aparelhos térmicos, de climatização e de refrigeração</t>
  </si>
  <si>
    <t>910115 Supervisor de manutenção de bombas, motores, compressores e equipamentos de transmissão</t>
  </si>
  <si>
    <t>910120 Supervisor de manutenção de máquinas gráficas</t>
  </si>
  <si>
    <t>910125 Supervisor de manutenção de máquinas industriais têxteis</t>
  </si>
  <si>
    <t>910130 Supervisor de manutenção de máquinas operatrizes e de usinagem</t>
  </si>
  <si>
    <t>910205 Supervisor da manutenção e reparação de veículos leves</t>
  </si>
  <si>
    <t>910210 Supervisor da manutenção e reparação de veículos pesados</t>
  </si>
  <si>
    <t>910905 Supervisor de reparos linhas férreas</t>
  </si>
  <si>
    <t>910910 Supervisor de manutenção de vias férreas</t>
  </si>
  <si>
    <t>911105 Mecânico de manutenção de bomba injetora (exceto de veículos automotores)</t>
  </si>
  <si>
    <t>911110 Mecânico de manutenção de bombas</t>
  </si>
  <si>
    <t>911115 Mecânico de manutenção de compressores de ar</t>
  </si>
  <si>
    <t>911120 Mecânico de manutenção de motores diesel (exceto de veículos automotores)</t>
  </si>
  <si>
    <t>911125 Mecânico de manutenção de redutores</t>
  </si>
  <si>
    <t>911130 Mecânico de manutenção de turbinas (exceto de aeronaves)</t>
  </si>
  <si>
    <t>911135 Mecânico de manutenção de turbocompressores</t>
  </si>
  <si>
    <t>911205 Mecânico de manutenção e instalação de aparelhos de climatização e  refrigeração</t>
  </si>
  <si>
    <t>911305 Mecânico de manutenção de máquinas, em geral</t>
  </si>
  <si>
    <t>911310 Mecânico de manutenção de máquinas gráficas</t>
  </si>
  <si>
    <t>911315 Mecânico de manutenção de máquinas operatrizes (lavra de madeira)</t>
  </si>
  <si>
    <t>911320 Mecânico de manutenção de máquinas têxteis</t>
  </si>
  <si>
    <t>911325 Mecânico de manutenção de máquinas-ferramentas (usinagem de metais)</t>
  </si>
  <si>
    <t>913105 Mecânico de manutenção de aparelhos de levantamento</t>
  </si>
  <si>
    <t>913110 Mecânico de manutenção de equipamento de mineração</t>
  </si>
  <si>
    <t>913115 Mecânico de manutenção de máquinas agrícolas</t>
  </si>
  <si>
    <t>913120 Mecânico de manutenção de máquinas de construção e terraplenagem</t>
  </si>
  <si>
    <t>914105 Mecânico de manutenção de aeronaves, em geral</t>
  </si>
  <si>
    <t>914110 Mecânico de manutenção de sistema hidráulico de aeronaves (serviços de pista e hangar)</t>
  </si>
  <si>
    <t>914205 Mecânico de manutenção de motores e equipamentos navais</t>
  </si>
  <si>
    <t>914305 Mecânico de manutenção de veículos ferroviários</t>
  </si>
  <si>
    <t>914405 Mecânico de manutenção de automóveis, motocicletas e veículos similares</t>
  </si>
  <si>
    <t>914410 Mecânico de manutenção de empilhadeiras e outros veículos de cargas leves</t>
  </si>
  <si>
    <t>914415 Mecânico de manutenção de motocicletas</t>
  </si>
  <si>
    <t>914420 Mecânico de manutenção de tratores</t>
  </si>
  <si>
    <t>914425 Mecânico de veículos automotores a diesel (exceto tratores)</t>
  </si>
  <si>
    <t>915105 Técnico em manutenção de instrumentos de medição e precisão</t>
  </si>
  <si>
    <t>915110 Técnico em manutenção de hidrômetros</t>
  </si>
  <si>
    <t>915115 Técnico em manutenção de balanças</t>
  </si>
  <si>
    <t>915205 Restaurador de instrumentos musicais (exceto cordas arcadas)</t>
  </si>
  <si>
    <t>915210 Reparador de instrumentos musicais</t>
  </si>
  <si>
    <t>915215 Luthier (restauração de cordas arcadas)</t>
  </si>
  <si>
    <t>915305 Técnico em manutenção de equipamentos e instrumentos médico-hospitalares</t>
  </si>
  <si>
    <t>915405 Reparador de equipamentos fotográficos</t>
  </si>
  <si>
    <t>919105 Lubrificador industrial</t>
  </si>
  <si>
    <t>919110 Lubrificador de veículos automotores (exceto embarcações)</t>
  </si>
  <si>
    <t>919115 Lubrificador de embarcações</t>
  </si>
  <si>
    <t>919205 Mecânico de manutenção de máquinas cortadoras de grama, roçadeiras, motosserras e similares</t>
  </si>
  <si>
    <t>919305 Mecânico de manutenção de aparelhos esportivos e de ginástica</t>
  </si>
  <si>
    <t>919310 Mecânico de manutenção de bicicletas e veículos similares</t>
  </si>
  <si>
    <t>919315 Montador de bicicletas</t>
  </si>
  <si>
    <t>950105 Supervisor de manutenção elétrica de alta tensão industrial</t>
  </si>
  <si>
    <t>950110 Supervisor de manutenção eletromecânica industrial, comercial e predial</t>
  </si>
  <si>
    <t>950205 Encarregado de manutenção elétrica de veículos</t>
  </si>
  <si>
    <t>950305 Supervisor de manutenção eletromecânica</t>
  </si>
  <si>
    <t>951105 Eletricista de manutenção eletroeletrônica</t>
  </si>
  <si>
    <t>951305 Instalador de sistemas eletroeletrônicos de segurança</t>
  </si>
  <si>
    <t>951310 Mantenedor de sistemas eletroeletrônicos de segurança</t>
  </si>
  <si>
    <t>951315 Monitor de sistemas eletrônicos de segurança interno</t>
  </si>
  <si>
    <t>951320 Monitor de sistemas eletrônicos de segurança externo</t>
  </si>
  <si>
    <t>953105 Eletricista de instalações (aeronaves)</t>
  </si>
  <si>
    <t>953110 Eletricista de instalações (embarcações)</t>
  </si>
  <si>
    <t>953115 Eletricista de instalações (veículos automotores e máquinas operatrizes, exceto aeronaves e embarcações)</t>
  </si>
  <si>
    <t>954105 Eletromecânico de manutenção de elevadores</t>
  </si>
  <si>
    <t>954110 Eletromecânico de manutenção de escadas rolantes</t>
  </si>
  <si>
    <t>954115 Eletromecânico de manutenção de portas automáticas</t>
  </si>
  <si>
    <t>954120 Mecânico de manutenção de instalações mecânicas de edifícios</t>
  </si>
  <si>
    <t>954125 Operador eletromecânico</t>
  </si>
  <si>
    <t>954205 Reparador de aparelhos eletrodomésticos (exceto imagem e som)</t>
  </si>
  <si>
    <t>954210 Reparador de rádio, tv e som</t>
  </si>
  <si>
    <t>954305 Reparador de equipamentos de escritório</t>
  </si>
  <si>
    <t>991105 Conservador de via permanente (trilhos)</t>
  </si>
  <si>
    <t>991110 Inspetor de via permanente (trilhos)</t>
  </si>
  <si>
    <t>991115 Operador de máquinas especiais em conservação de via permanente (trilhos)</t>
  </si>
  <si>
    <t>991120 Soldador aluminotérmico em conservação de trilhos</t>
  </si>
  <si>
    <t>991205 Mantenedor de equipamentos de parques de diversões e similares</t>
  </si>
  <si>
    <t>991305 Funileiro de veículos (reparação)</t>
  </si>
  <si>
    <t>991310 Montador de veículos (reparação)</t>
  </si>
  <si>
    <t>991315 Pintor de veículos (reparação)</t>
  </si>
  <si>
    <t>992105 Alinhador de pneus</t>
  </si>
  <si>
    <t>992110 Balanceador</t>
  </si>
  <si>
    <t>992115 Borracheiro</t>
  </si>
  <si>
    <t>992120 Lavador de peças</t>
  </si>
  <si>
    <t>992205 Encarregado geral de operações de conservação de vias permanentes (exceto trilhos)</t>
  </si>
  <si>
    <t>992210 Encarregado de equipe de conservação de vias permanentes (exceto trilhos)</t>
  </si>
  <si>
    <t>992215 Operador de ceifadeira na conservação de vias permanentes</t>
  </si>
  <si>
    <t>992220 Pedreiro de conservação de vias permanentes (exceto trilhos)</t>
  </si>
  <si>
    <t>992225 Auxiliar geral de conservação de vias permanentes (exceto trilhos)</t>
  </si>
  <si>
    <t>Servidor:</t>
  </si>
  <si>
    <t>CPF:</t>
  </si>
  <si>
    <t>Processo SEI:</t>
  </si>
  <si>
    <t>14.2026.0</t>
  </si>
  <si>
    <t>Separação dos campos para digitação de nome, CPF e processo SEI. Inclusão do campo para data de nascimento e inclusão do campo para CBO (com validação de código via seleção de lista)</t>
  </si>
  <si>
    <t>Criada por José Rodrigues - CFCA - Reitoria - Março/2025 - Última atualização: Julho/2026</t>
  </si>
  <si>
    <t>Digite o CBO</t>
  </si>
  <si>
    <t>(digite o código, tecle ENTER e volte a célula para selecionar a descrição na seta. Apenas para fins de validação do código.)</t>
  </si>
  <si>
    <t>Agência:</t>
  </si>
  <si>
    <t>Conta:</t>
  </si>
  <si>
    <t>Banco (código):</t>
  </si>
  <si>
    <t>14.2026.1</t>
  </si>
  <si>
    <t>Inclusão de células para dados bancários</t>
  </si>
  <si>
    <t>Revisão 14.2026.1 - 24/07/2026</t>
  </si>
  <si>
    <t>(4 dígitos sem o verificador)</t>
  </si>
  <si>
    <t>(3 dígitos)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</si>
</sst>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0000000000"/>
  </numFmts>
  <fonts count="1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theme="6" tint="0.79998168889431442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5" fillId="0" borderId="0"/>
  </cellStyleXfs>
  <cellXfs count="96">
    <xf numFmtId="0" fontId="0" fillId="0" borderId="0" xfId="0"/>
    <xf numFmtId="0" fontId="0" fillId="2" borderId="1" xfId="0" applyFill="1" applyBorder="1"/>
    <xf numFmtId="4" fontId="0" fillId="3" borderId="1" xfId="0" applyNumberFormat="1" applyFill="1" applyBorder="1"/>
    <xf numFmtId="0" fontId="0" fillId="3" borderId="1" xfId="0" applyFill="1" applyBorder="1"/>
    <xf numFmtId="0" fontId="0" fillId="5" borderId="0" xfId="0" applyFill="1"/>
    <xf numFmtId="0" fontId="2" fillId="5" borderId="0" xfId="0" applyFont="1" applyFill="1"/>
    <xf numFmtId="0" fontId="0" fillId="5" borderId="0" xfId="0" applyFill="1" applyAlignment="1">
      <alignment horizontal="center"/>
    </xf>
    <xf numFmtId="4" fontId="0" fillId="6" borderId="1" xfId="0" applyNumberFormat="1" applyFill="1" applyBorder="1"/>
    <xf numFmtId="1" fontId="0" fillId="6" borderId="1" xfId="0" applyNumberFormat="1" applyFill="1" applyBorder="1"/>
    <xf numFmtId="0" fontId="0" fillId="8" borderId="0" xfId="0" applyFill="1"/>
    <xf numFmtId="0" fontId="0" fillId="4" borderId="0" xfId="0" applyFill="1"/>
    <xf numFmtId="4" fontId="0" fillId="4" borderId="0" xfId="0" applyNumberFormat="1" applyFill="1"/>
    <xf numFmtId="164" fontId="0" fillId="0" borderId="0" xfId="0" applyNumberFormat="1"/>
    <xf numFmtId="0" fontId="3" fillId="0" borderId="0" xfId="0" applyFont="1"/>
    <xf numFmtId="0" fontId="5" fillId="0" borderId="0" xfId="0" applyFont="1"/>
    <xf numFmtId="4" fontId="0" fillId="7" borderId="1" xfId="0" applyNumberFormat="1" applyFill="1" applyBorder="1" applyProtection="1">
      <protection locked="0"/>
    </xf>
    <xf numFmtId="1" fontId="0" fillId="7" borderId="1" xfId="0" applyNumberFormat="1" applyFill="1" applyBorder="1" applyProtection="1">
      <protection locked="0"/>
    </xf>
    <xf numFmtId="2" fontId="0" fillId="5" borderId="0" xfId="0" applyNumberFormat="1" applyFill="1"/>
    <xf numFmtId="2" fontId="6" fillId="5" borderId="0" xfId="0" applyNumberFormat="1" applyFont="1" applyFill="1"/>
    <xf numFmtId="4" fontId="0" fillId="5" borderId="0" xfId="0" applyNumberFormat="1" applyFill="1"/>
    <xf numFmtId="0" fontId="3" fillId="5" borderId="0" xfId="0" applyFont="1" applyFill="1"/>
    <xf numFmtId="0" fontId="8" fillId="5" borderId="0" xfId="0" applyFont="1" applyFill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2" fillId="0" borderId="0" xfId="0" applyFont="1"/>
    <xf numFmtId="0" fontId="0" fillId="15" borderId="0" xfId="0" applyFill="1"/>
    <xf numFmtId="14" fontId="0" fillId="11" borderId="1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12" fillId="5" borderId="0" xfId="0" applyFont="1" applyFill="1"/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0" fontId="13" fillId="15" borderId="0" xfId="0" applyFont="1" applyFill="1"/>
    <xf numFmtId="0" fontId="2" fillId="4" borderId="0" xfId="0" applyFont="1" applyFill="1" applyBorder="1"/>
    <xf numFmtId="0" fontId="16" fillId="0" borderId="0" xfId="1" applyFont="1" applyAlignment="1">
      <alignment horizontal="center"/>
    </xf>
    <xf numFmtId="0" fontId="17" fillId="0" borderId="0" xfId="1" applyFont="1"/>
    <xf numFmtId="0" fontId="0" fillId="4" borderId="0" xfId="0" applyFill="1" applyAlignment="1"/>
    <xf numFmtId="0" fontId="14" fillId="4" borderId="0" xfId="0" applyFont="1" applyFill="1" applyAlignment="1"/>
    <xf numFmtId="0" fontId="14" fillId="4" borderId="0" xfId="0" applyFont="1" applyFill="1" applyAlignment="1">
      <alignment horizontal="right"/>
    </xf>
    <xf numFmtId="0" fontId="17" fillId="0" borderId="0" xfId="1" applyFont="1" applyFill="1"/>
    <xf numFmtId="14" fontId="14" fillId="16" borderId="0" xfId="0" applyNumberFormat="1" applyFont="1" applyFill="1" applyAlignment="1" applyProtection="1">
      <alignment horizontal="center"/>
      <protection locked="0"/>
    </xf>
    <xf numFmtId="0" fontId="14" fillId="4" borderId="0" xfId="0" applyFont="1" applyFill="1" applyAlignment="1" applyProtection="1">
      <protection locked="0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8" fillId="0" borderId="0" xfId="0" applyFont="1" applyAlignment="1">
      <alignment horizontal="left" wrapText="1"/>
    </xf>
    <xf numFmtId="0" fontId="14" fillId="0" borderId="0" xfId="0" applyFont="1" applyAlignment="1">
      <alignment horizontal="left"/>
    </xf>
    <xf numFmtId="0" fontId="9" fillId="4" borderId="0" xfId="0" applyFont="1" applyFill="1" applyAlignment="1" applyProtection="1">
      <alignment horizontal="left"/>
    </xf>
    <xf numFmtId="0" fontId="9" fillId="16" borderId="0" xfId="0" applyFont="1" applyFill="1" applyAlignment="1" applyProtection="1">
      <alignment horizontal="left"/>
      <protection locked="0"/>
    </xf>
    <xf numFmtId="165" fontId="14" fillId="16" borderId="0" xfId="0" applyNumberFormat="1" applyFont="1" applyFill="1" applyAlignment="1" applyProtection="1">
      <alignment horizontal="left"/>
      <protection locked="0"/>
    </xf>
    <xf numFmtId="0" fontId="14" fillId="4" borderId="0" xfId="0" applyFont="1" applyFill="1" applyAlignment="1">
      <alignment horizontal="right"/>
    </xf>
    <xf numFmtId="0" fontId="14" fillId="16" borderId="0" xfId="0" applyFont="1" applyFill="1" applyAlignment="1" applyProtection="1">
      <alignment horizontal="center"/>
      <protection locked="0"/>
    </xf>
    <xf numFmtId="0" fontId="14" fillId="16" borderId="0" xfId="0" applyFont="1" applyFill="1" applyAlignment="1" applyProtection="1">
      <alignment horizontal="left"/>
      <protection locked="0"/>
    </xf>
    <xf numFmtId="4" fontId="10" fillId="0" borderId="1" xfId="0" applyNumberFormat="1" applyFont="1" applyBorder="1" applyAlignment="1">
      <alignment horizontal="center" vertical="center"/>
    </xf>
    <xf numFmtId="0" fontId="7" fillId="5" borderId="0" xfId="0" applyFont="1" applyFill="1" applyAlignment="1">
      <alignment horizontal="left"/>
    </xf>
    <xf numFmtId="4" fontId="10" fillId="14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3" fillId="10" borderId="2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1" fillId="15" borderId="0" xfId="0" applyFont="1" applyFill="1" applyAlignment="1">
      <alignment horizontal="center"/>
    </xf>
    <xf numFmtId="0" fontId="0" fillId="13" borderId="1" xfId="0" applyFill="1" applyBorder="1" applyAlignment="1">
      <alignment horizontal="center"/>
    </xf>
    <xf numFmtId="0" fontId="13" fillId="15" borderId="0" xfId="0" applyFont="1" applyFill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4" fillId="0" borderId="0" xfId="0" applyFont="1"/>
    <xf numFmtId="0" fontId="14" fillId="4" borderId="0" xfId="0" applyFont="1" applyFill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/>
    </xf>
    <xf numFmtId="14" fontId="14" fillId="16" borderId="0" xfId="0" applyNumberFormat="1" applyFont="1" applyFill="1" applyAlignment="1" applyProtection="1">
      <alignment horizont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8</xdr:row>
      <xdr:rowOff>114300</xdr:rowOff>
    </xdr:from>
    <xdr:to>
      <xdr:col>11</xdr:col>
      <xdr:colOff>0</xdr:colOff>
      <xdr:row>8</xdr:row>
      <xdr:rowOff>114300</xdr:rowOff>
    </xdr:to>
    <xdr:cxnSp macro="">
      <xdr:nvCxnSpPr>
        <xdr:cNvPr id="3" name="Conector de Seta Reta 2">
          <a:extLst>
            <a:ext uri="{FF2B5EF4-FFF2-40B4-BE49-F238E27FC236}">
              <a16:creationId xmlns="" xmlns:a16="http://schemas.microsoft.com/office/drawing/2014/main" id="{D8FEA904-549A-6FAB-1B57-2E6699B0DDAE}"/>
            </a:ext>
          </a:extLst>
        </xdr:cNvPr>
        <xdr:cNvCxnSpPr/>
      </xdr:nvCxnSpPr>
      <xdr:spPr>
        <a:xfrm>
          <a:off x="6438900" y="1638300"/>
          <a:ext cx="5810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28575</xdr:colOff>
      <xdr:row>19</xdr:row>
      <xdr:rowOff>114300</xdr:rowOff>
    </xdr:from>
    <xdr:to>
      <xdr:col>11</xdr:col>
      <xdr:colOff>9525</xdr:colOff>
      <xdr:row>19</xdr:row>
      <xdr:rowOff>123825</xdr:rowOff>
    </xdr:to>
    <xdr:cxnSp macro="">
      <xdr:nvCxnSpPr>
        <xdr:cNvPr id="4" name="Conector de Seta Reta 3">
          <a:extLst>
            <a:ext uri="{FF2B5EF4-FFF2-40B4-BE49-F238E27FC236}">
              <a16:creationId xmlns="" xmlns:a16="http://schemas.microsoft.com/office/drawing/2014/main" id="{99070E7A-9C6B-4C5F-A919-78FDD67B6F47}"/>
            </a:ext>
          </a:extLst>
        </xdr:cNvPr>
        <xdr:cNvCxnSpPr/>
      </xdr:nvCxnSpPr>
      <xdr:spPr>
        <a:xfrm>
          <a:off x="5486400" y="1638300"/>
          <a:ext cx="5905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171450</xdr:colOff>
      <xdr:row>10</xdr:row>
      <xdr:rowOff>19050</xdr:rowOff>
    </xdr:from>
    <xdr:to>
      <xdr:col>4</xdr:col>
      <xdr:colOff>381000</xdr:colOff>
      <xdr:row>25</xdr:row>
      <xdr:rowOff>6121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B598AFB8-16C7-DC45-162A-844686308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924050"/>
          <a:ext cx="3295650" cy="2854096"/>
        </a:xfrm>
        <a:prstGeom prst="rect">
          <a:avLst/>
        </a:prstGeom>
      </xdr:spPr>
    </xdr:pic>
    <xdr:clientData/>
  </xdr:twoCellAnchor>
  <xdr:twoCellAnchor editAs="oneCell">
    <xdr:from>
      <xdr:col>0</xdr:col>
      <xdr:colOff>504826</xdr:colOff>
      <xdr:row>26</xdr:row>
      <xdr:rowOff>52828</xdr:rowOff>
    </xdr:from>
    <xdr:to>
      <xdr:col>8</xdr:col>
      <xdr:colOff>57151</xdr:colOff>
      <xdr:row>27</xdr:row>
      <xdr:rowOff>47598</xdr:rowOff>
    </xdr:to>
    <xdr:pic>
      <xdr:nvPicPr>
        <xdr:cNvPr id="6" name="Imagem 5">
          <a:extLst>
            <a:ext uri="{FF2B5EF4-FFF2-40B4-BE49-F238E27FC236}">
              <a16:creationId xmlns="" xmlns:a16="http://schemas.microsoft.com/office/drawing/2014/main" id="{6F2789A3-AAF5-4D7C-580A-620B1F2D8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826" y="4815328"/>
          <a:ext cx="4019550" cy="185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8</xdr:row>
      <xdr:rowOff>114300</xdr:rowOff>
    </xdr:from>
    <xdr:to>
      <xdr:col>11</xdr:col>
      <xdr:colOff>0</xdr:colOff>
      <xdr:row>8</xdr:row>
      <xdr:rowOff>114300</xdr:rowOff>
    </xdr:to>
    <xdr:cxnSp macro="">
      <xdr:nvCxnSpPr>
        <xdr:cNvPr id="2" name="Conector de Seta Reta 1">
          <a:extLst>
            <a:ext uri="{FF2B5EF4-FFF2-40B4-BE49-F238E27FC236}">
              <a16:creationId xmlns="" xmlns:a16="http://schemas.microsoft.com/office/drawing/2014/main" id="{D87EE364-0710-4178-9A2B-4EB6B9D036C1}"/>
            </a:ext>
          </a:extLst>
        </xdr:cNvPr>
        <xdr:cNvCxnSpPr/>
      </xdr:nvCxnSpPr>
      <xdr:spPr>
        <a:xfrm>
          <a:off x="6438900" y="1638300"/>
          <a:ext cx="5810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781050</xdr:colOff>
      <xdr:row>19</xdr:row>
      <xdr:rowOff>123825</xdr:rowOff>
    </xdr:from>
    <xdr:to>
      <xdr:col>11</xdr:col>
      <xdr:colOff>9525</xdr:colOff>
      <xdr:row>19</xdr:row>
      <xdr:rowOff>123825</xdr:rowOff>
    </xdr:to>
    <xdr:cxnSp macro="">
      <xdr:nvCxnSpPr>
        <xdr:cNvPr id="3" name="Conector de Seta Reta 2">
          <a:extLst>
            <a:ext uri="{FF2B5EF4-FFF2-40B4-BE49-F238E27FC236}">
              <a16:creationId xmlns="" xmlns:a16="http://schemas.microsoft.com/office/drawing/2014/main" id="{07B3AA0D-E429-4B66-91AC-90C07817F79E}"/>
            </a:ext>
          </a:extLst>
        </xdr:cNvPr>
        <xdr:cNvCxnSpPr/>
      </xdr:nvCxnSpPr>
      <xdr:spPr>
        <a:xfrm>
          <a:off x="6276975" y="3752850"/>
          <a:ext cx="75247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13</xdr:row>
      <xdr:rowOff>0</xdr:rowOff>
    </xdr:from>
    <xdr:to>
      <xdr:col>4</xdr:col>
      <xdr:colOff>584904</xdr:colOff>
      <xdr:row>19</xdr:row>
      <xdr:rowOff>28421</xdr:rowOff>
    </xdr:to>
    <xdr:pic>
      <xdr:nvPicPr>
        <xdr:cNvPr id="6" name="Imagem 5">
          <a:extLst>
            <a:ext uri="{FF2B5EF4-FFF2-40B4-BE49-F238E27FC236}">
              <a16:creationId xmlns="" xmlns:a16="http://schemas.microsoft.com/office/drawing/2014/main" id="{27C2FB76-044C-4356-860B-8452BEA10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3671004" cy="1180946"/>
        </a:xfrm>
        <a:prstGeom prst="rect">
          <a:avLst/>
        </a:prstGeom>
      </xdr:spPr>
    </xdr:pic>
    <xdr:clientData/>
  </xdr:twoCellAnchor>
  <xdr:twoCellAnchor>
    <xdr:from>
      <xdr:col>20</xdr:col>
      <xdr:colOff>304800</xdr:colOff>
      <xdr:row>4</xdr:row>
      <xdr:rowOff>133350</xdr:rowOff>
    </xdr:from>
    <xdr:to>
      <xdr:col>20</xdr:col>
      <xdr:colOff>781050</xdr:colOff>
      <xdr:row>5</xdr:row>
      <xdr:rowOff>85725</xdr:rowOff>
    </xdr:to>
    <xdr:sp macro="" textlink="">
      <xdr:nvSpPr>
        <xdr:cNvPr id="4" name="Seta: para a Direita 3">
          <a:extLst>
            <a:ext uri="{FF2B5EF4-FFF2-40B4-BE49-F238E27FC236}">
              <a16:creationId xmlns="" xmlns:a16="http://schemas.microsoft.com/office/drawing/2014/main" id="{AF3BC5B9-F8E5-862B-2CDC-8375AACB9523}"/>
            </a:ext>
          </a:extLst>
        </xdr:cNvPr>
        <xdr:cNvSpPr/>
      </xdr:nvSpPr>
      <xdr:spPr>
        <a:xfrm>
          <a:off x="13087350" y="1095375"/>
          <a:ext cx="476250" cy="142875"/>
        </a:xfrm>
        <a:prstGeom prst="righ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342899</xdr:colOff>
      <xdr:row>15</xdr:row>
      <xdr:rowOff>123825</xdr:rowOff>
    </xdr:from>
    <xdr:to>
      <xdr:col>20</xdr:col>
      <xdr:colOff>847724</xdr:colOff>
      <xdr:row>16</xdr:row>
      <xdr:rowOff>38100</xdr:rowOff>
    </xdr:to>
    <xdr:sp macro="" textlink="">
      <xdr:nvSpPr>
        <xdr:cNvPr id="7" name="Seta: para a Direita 6">
          <a:extLst>
            <a:ext uri="{FF2B5EF4-FFF2-40B4-BE49-F238E27FC236}">
              <a16:creationId xmlns="" xmlns:a16="http://schemas.microsoft.com/office/drawing/2014/main" id="{ED83B102-6B5D-4D8F-A380-D5EC4AB45BEC}"/>
            </a:ext>
          </a:extLst>
        </xdr:cNvPr>
        <xdr:cNvSpPr/>
      </xdr:nvSpPr>
      <xdr:spPr>
        <a:xfrm>
          <a:off x="13125449" y="3028950"/>
          <a:ext cx="504825" cy="104775"/>
        </a:xfrm>
        <a:prstGeom prst="rightArrow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1039813</xdr:colOff>
      <xdr:row>20</xdr:row>
      <xdr:rowOff>103188</xdr:rowOff>
    </xdr:from>
    <xdr:to>
      <xdr:col>11</xdr:col>
      <xdr:colOff>9525</xdr:colOff>
      <xdr:row>20</xdr:row>
      <xdr:rowOff>123825</xdr:rowOff>
    </xdr:to>
    <xdr:cxnSp macro="">
      <xdr:nvCxnSpPr>
        <xdr:cNvPr id="8" name="Conector de Seta Reta 7">
          <a:extLst>
            <a:ext uri="{FF2B5EF4-FFF2-40B4-BE49-F238E27FC236}">
              <a16:creationId xmlns="" xmlns:a16="http://schemas.microsoft.com/office/drawing/2014/main" id="{2B4807F4-5CE4-498D-8C24-8EBBD535D3DA}"/>
            </a:ext>
          </a:extLst>
        </xdr:cNvPr>
        <xdr:cNvCxnSpPr/>
      </xdr:nvCxnSpPr>
      <xdr:spPr>
        <a:xfrm>
          <a:off x="6119813" y="3865563"/>
          <a:ext cx="1970087" cy="2063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21</xdr:row>
      <xdr:rowOff>148167</xdr:rowOff>
    </xdr:from>
    <xdr:to>
      <xdr:col>3</xdr:col>
      <xdr:colOff>184150</xdr:colOff>
      <xdr:row>23</xdr:row>
      <xdr:rowOff>5292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4074584"/>
          <a:ext cx="2851150" cy="2275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showGridLines="0" workbookViewId="0">
      <selection activeCell="J1" sqref="J1:O2"/>
    </sheetView>
  </sheetViews>
  <sheetFormatPr defaultRowHeight="14.25"/>
  <cols>
    <col min="1" max="4" width="11.625" customWidth="1"/>
    <col min="6" max="6" width="0.125" customWidth="1"/>
    <col min="7" max="7" width="2.25" customWidth="1"/>
    <col min="9" max="9" width="15.375" customWidth="1"/>
    <col min="10" max="10" width="13.75" customWidth="1"/>
    <col min="12" max="12" width="11.125" customWidth="1"/>
    <col min="13" max="13" width="10.25" customWidth="1"/>
    <col min="19" max="19" width="2.25" customWidth="1"/>
    <col min="21" max="21" width="13.75" customWidth="1"/>
  </cols>
  <sheetData>
    <row r="1" spans="1:21" ht="15">
      <c r="A1" s="52" t="s">
        <v>0</v>
      </c>
      <c r="B1" s="53"/>
      <c r="C1" s="53"/>
      <c r="D1" s="54"/>
      <c r="E1" s="60" t="s">
        <v>26</v>
      </c>
      <c r="F1" s="61"/>
      <c r="G1" s="61"/>
      <c r="H1" s="61"/>
      <c r="I1" s="62"/>
      <c r="J1" s="59" t="s">
        <v>23</v>
      </c>
      <c r="K1" s="59"/>
      <c r="L1" s="59"/>
      <c r="M1" s="59"/>
      <c r="N1" s="59"/>
      <c r="O1" s="59"/>
    </row>
    <row r="2" spans="1:21">
      <c r="E2" s="10"/>
      <c r="J2" s="59"/>
      <c r="K2" s="59"/>
      <c r="L2" s="59"/>
      <c r="M2" s="59"/>
      <c r="N2" s="59"/>
      <c r="O2" s="59"/>
    </row>
    <row r="3" spans="1:21" ht="15">
      <c r="A3" s="1" t="s">
        <v>1</v>
      </c>
      <c r="B3" s="1" t="s">
        <v>2</v>
      </c>
      <c r="C3" s="1" t="s">
        <v>3</v>
      </c>
      <c r="D3" s="1" t="s">
        <v>4</v>
      </c>
      <c r="E3" s="10"/>
      <c r="G3" s="9"/>
      <c r="H3" s="58" t="s">
        <v>16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9"/>
    </row>
    <row r="4" spans="1:21">
      <c r="A4" s="2"/>
      <c r="B4" s="2">
        <v>2259.1999999999998</v>
      </c>
      <c r="C4" s="3">
        <v>0</v>
      </c>
      <c r="D4" s="2">
        <v>0</v>
      </c>
      <c r="E4" s="11"/>
      <c r="G4" s="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9"/>
    </row>
    <row r="5" spans="1:21">
      <c r="A5" s="2">
        <v>2259.21</v>
      </c>
      <c r="B5" s="2">
        <v>2826.65</v>
      </c>
      <c r="C5" s="3">
        <v>7.5</v>
      </c>
      <c r="D5" s="2">
        <v>169.44</v>
      </c>
      <c r="E5" s="11"/>
      <c r="G5" s="9"/>
      <c r="H5" s="4"/>
      <c r="I5" s="55" t="s">
        <v>7</v>
      </c>
      <c r="J5" s="55"/>
      <c r="K5" s="4"/>
      <c r="L5" s="15">
        <v>0</v>
      </c>
      <c r="M5" s="4"/>
      <c r="N5" s="4"/>
      <c r="O5" s="4"/>
      <c r="P5" s="4"/>
      <c r="Q5" s="4"/>
      <c r="R5" s="4"/>
      <c r="S5" s="9"/>
    </row>
    <row r="6" spans="1:21">
      <c r="A6" s="2">
        <v>2826.66</v>
      </c>
      <c r="B6" s="2">
        <v>3751.05</v>
      </c>
      <c r="C6" s="3">
        <v>15</v>
      </c>
      <c r="D6" s="2">
        <v>381.44</v>
      </c>
      <c r="E6" s="11"/>
      <c r="G6" s="9"/>
      <c r="H6" s="4"/>
      <c r="I6" s="4" t="s">
        <v>8</v>
      </c>
      <c r="J6" s="4"/>
      <c r="K6" s="4"/>
      <c r="L6" s="15">
        <v>0</v>
      </c>
      <c r="M6" s="4"/>
      <c r="N6" s="4"/>
      <c r="O6" s="4"/>
      <c r="P6" s="4"/>
      <c r="Q6" s="4"/>
      <c r="R6" s="4"/>
      <c r="S6" s="9"/>
    </row>
    <row r="7" spans="1:21">
      <c r="A7" s="2">
        <v>3751.06</v>
      </c>
      <c r="B7" s="2">
        <v>4664.68</v>
      </c>
      <c r="C7" s="3">
        <v>22.5</v>
      </c>
      <c r="D7" s="2">
        <v>662.77</v>
      </c>
      <c r="E7" s="11"/>
      <c r="G7" s="9"/>
      <c r="H7" s="4"/>
      <c r="I7" s="4" t="s">
        <v>9</v>
      </c>
      <c r="J7" s="4"/>
      <c r="K7" s="4"/>
      <c r="L7" s="16">
        <v>0</v>
      </c>
      <c r="M7" s="4" t="s">
        <v>10</v>
      </c>
      <c r="N7" s="4"/>
      <c r="O7" s="4"/>
      <c r="P7" s="7">
        <f>L7*D10</f>
        <v>0</v>
      </c>
      <c r="Q7" s="4"/>
      <c r="R7" s="4"/>
      <c r="S7" s="9"/>
    </row>
    <row r="8" spans="1:21">
      <c r="A8" s="2">
        <v>4664.68</v>
      </c>
      <c r="B8" s="2"/>
      <c r="C8" s="3">
        <v>27.5</v>
      </c>
      <c r="D8" s="2">
        <v>896</v>
      </c>
      <c r="E8" s="11"/>
      <c r="G8" s="9"/>
      <c r="H8" s="4"/>
      <c r="I8" s="4" t="s">
        <v>11</v>
      </c>
      <c r="J8" s="4"/>
      <c r="K8" s="4"/>
      <c r="L8" s="7">
        <f>L5-L6-P7</f>
        <v>0</v>
      </c>
      <c r="M8" s="4"/>
      <c r="N8" s="4"/>
      <c r="O8" s="4"/>
      <c r="P8" s="4"/>
      <c r="Q8" s="4"/>
      <c r="R8" s="4"/>
      <c r="S8" s="9"/>
    </row>
    <row r="9" spans="1:21">
      <c r="E9" s="10"/>
      <c r="G9" s="9"/>
      <c r="H9" s="4"/>
      <c r="I9" s="4" t="s">
        <v>6</v>
      </c>
      <c r="J9" s="7">
        <f>IF(L8&lt;=$B$4,0,IF(AND(L8&gt;=$A$5,L8&lt;=$B$5),TRUNC(L8*$C$5/100-$D$5,2),IF(AND(L8&gt;=$A$6,L8&lt;=$B$6),TRUNC(L8*$C$6/100-$D$6,2),IF(AND(L8&gt;=$A$7,L8&lt;=$B$7),TRUNC(L8*$C$7/100-$D$7,2),IF(L8&gt;=$A$8,TRUNC(L8*$C$8/100-$D$8,2),"")))))</f>
        <v>0</v>
      </c>
      <c r="K9" s="4"/>
      <c r="L9" s="5" t="s">
        <v>25</v>
      </c>
      <c r="M9" s="4"/>
      <c r="N9" s="4"/>
      <c r="O9" s="4"/>
      <c r="P9" s="4"/>
      <c r="Q9" s="4"/>
      <c r="R9" s="4"/>
      <c r="S9" s="9"/>
      <c r="U9" s="12"/>
    </row>
    <row r="10" spans="1:21">
      <c r="A10" s="57" t="s">
        <v>5</v>
      </c>
      <c r="B10" s="57"/>
      <c r="C10" s="57"/>
      <c r="D10" s="2">
        <v>189.59</v>
      </c>
      <c r="E10" s="11"/>
      <c r="G10" s="9"/>
      <c r="H10" s="4"/>
      <c r="I10" s="4" t="s">
        <v>20</v>
      </c>
      <c r="J10" s="7">
        <f>L5-L6-J9</f>
        <v>0</v>
      </c>
      <c r="K10" s="4"/>
      <c r="L10" s="5"/>
      <c r="M10" s="4"/>
      <c r="N10" s="4"/>
      <c r="O10" s="4"/>
      <c r="P10" s="4"/>
      <c r="Q10" s="4"/>
      <c r="R10" s="4"/>
      <c r="S10" s="9"/>
    </row>
    <row r="11" spans="1:21" ht="15">
      <c r="G11" s="9"/>
      <c r="H11" s="58" t="s">
        <v>22</v>
      </c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9"/>
    </row>
    <row r="12" spans="1:21">
      <c r="G12" s="9"/>
      <c r="H12" s="4"/>
      <c r="I12" s="6"/>
      <c r="J12" s="6"/>
      <c r="K12" s="6"/>
      <c r="L12" s="6"/>
      <c r="M12" s="6"/>
      <c r="N12" s="6"/>
      <c r="O12" s="6"/>
      <c r="P12" s="6"/>
      <c r="Q12" s="6"/>
      <c r="R12" s="4"/>
      <c r="S12" s="9"/>
    </row>
    <row r="13" spans="1:21">
      <c r="G13" s="9"/>
      <c r="H13" s="4"/>
      <c r="I13" s="4" t="s">
        <v>12</v>
      </c>
      <c r="J13" s="15">
        <v>0</v>
      </c>
      <c r="K13" s="4"/>
      <c r="L13" s="4" t="s">
        <v>14</v>
      </c>
      <c r="M13" s="7">
        <f>TRUNC(J13*0.11,2)</f>
        <v>0</v>
      </c>
      <c r="N13" s="18" t="str">
        <f>IF(AND(TRUNC(J13*0.11,2)+L6&lt;564.8,J13&lt;&gt;"",J13&gt;0),564.8,IF(AND(TRUNC(J13*0.11,2)+L6&gt;=564.8,J13&lt;&gt;"",J13&gt;0),TRUNC(J13*0.11,2)+L6,""))</f>
        <v/>
      </c>
      <c r="O13" s="4" t="s">
        <v>15</v>
      </c>
      <c r="P13" s="4"/>
      <c r="Q13" s="7">
        <f>TRUNC(J13*0.2,2)</f>
        <v>0</v>
      </c>
      <c r="R13" s="4"/>
      <c r="S13" s="9"/>
    </row>
    <row r="14" spans="1:21">
      <c r="G14" s="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9"/>
    </row>
    <row r="15" spans="1:21">
      <c r="G15" s="9"/>
      <c r="H15" s="4"/>
      <c r="I15" s="56" t="s">
        <v>13</v>
      </c>
      <c r="J15" s="56"/>
      <c r="K15" s="4"/>
      <c r="L15" s="7">
        <f>L5+J13</f>
        <v>0</v>
      </c>
      <c r="M15" s="4"/>
      <c r="N15" s="4"/>
      <c r="O15" s="4"/>
      <c r="P15" s="4"/>
      <c r="Q15" s="4"/>
      <c r="R15" s="4"/>
      <c r="S15" s="9"/>
    </row>
    <row r="16" spans="1:21">
      <c r="G16" s="9"/>
      <c r="H16" s="4"/>
      <c r="I16" s="55" t="s">
        <v>8</v>
      </c>
      <c r="J16" s="55"/>
      <c r="K16" s="4"/>
      <c r="L16" s="7" t="str">
        <f>N13</f>
        <v/>
      </c>
      <c r="M16" s="4"/>
      <c r="N16" s="4"/>
      <c r="O16" s="4"/>
      <c r="P16" s="4"/>
      <c r="Q16" s="4"/>
      <c r="R16" s="4"/>
      <c r="S16" s="9"/>
    </row>
    <row r="17" spans="7:19">
      <c r="G17" s="9"/>
      <c r="H17" s="4"/>
      <c r="I17" s="4" t="s">
        <v>9</v>
      </c>
      <c r="J17" s="4"/>
      <c r="K17" s="4"/>
      <c r="L17" s="8">
        <f>L7</f>
        <v>0</v>
      </c>
      <c r="M17" s="4" t="s">
        <v>10</v>
      </c>
      <c r="N17" s="4"/>
      <c r="O17" s="4"/>
      <c r="P17" s="7">
        <f>L17*D10</f>
        <v>0</v>
      </c>
      <c r="Q17" s="4"/>
      <c r="R17" s="4"/>
      <c r="S17" s="9"/>
    </row>
    <row r="18" spans="7:19">
      <c r="G18" s="9"/>
      <c r="H18" s="4"/>
      <c r="I18" s="4" t="s">
        <v>11</v>
      </c>
      <c r="J18" s="4"/>
      <c r="K18" s="4"/>
      <c r="L18" s="7" t="str">
        <f>IF(AND(J13&lt;&gt;"",J13&lt;&gt;0),L15-L16-P17,"")</f>
        <v/>
      </c>
      <c r="M18" s="17"/>
      <c r="N18" s="19"/>
      <c r="O18" s="19"/>
      <c r="P18" s="4"/>
      <c r="Q18" s="4"/>
      <c r="R18" s="4"/>
      <c r="S18" s="9"/>
    </row>
    <row r="19" spans="7:19" ht="15.75" customHeight="1">
      <c r="G19" s="9"/>
      <c r="H19" s="4"/>
      <c r="I19" s="4" t="s">
        <v>17</v>
      </c>
      <c r="J19" s="4"/>
      <c r="K19" s="4"/>
      <c r="L19" s="7">
        <f>J13-M13</f>
        <v>0</v>
      </c>
      <c r="M19" s="5" t="s">
        <v>18</v>
      </c>
      <c r="N19" s="4"/>
      <c r="O19" s="4"/>
      <c r="P19" s="4"/>
      <c r="Q19" s="4"/>
      <c r="R19" s="4"/>
      <c r="S19" s="9"/>
    </row>
    <row r="20" spans="7:19">
      <c r="G20" s="9"/>
      <c r="H20" s="4"/>
      <c r="I20" s="4" t="s">
        <v>6</v>
      </c>
      <c r="J20" s="7" t="str">
        <f>IF(AND(J13&lt;&gt;"",J13&lt;&gt;0),IF(L18&lt;=$B$4,0,IF(AND(L18&gt;=$A$5,L18&lt;=$B$5),TRUNC(L18*$C$5/100-$D$5,2),IF(AND(L18&gt;=$A$6,L18&lt;=$B$6),TRUNC(L18*$C$6/100-$D$6,2),IF(AND(L18&gt;=$A$7,L18&lt;=$B$7),TRUNC(L18*$C$7/100-$D$7,2),IF(L18&gt;=$A$8,TRUNC(L18*$C$8/100-$D$8,2),"")))))-J9,"")</f>
        <v/>
      </c>
      <c r="K20" s="4"/>
      <c r="L20" s="5" t="s">
        <v>19</v>
      </c>
      <c r="M20" s="4"/>
      <c r="N20" s="4"/>
      <c r="O20" s="4"/>
      <c r="P20" s="4"/>
      <c r="Q20" s="4"/>
      <c r="R20" s="4"/>
      <c r="S20" s="9"/>
    </row>
    <row r="21" spans="7:19">
      <c r="G21" s="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9"/>
    </row>
    <row r="22" spans="7:19"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</sheetData>
  <mergeCells count="9">
    <mergeCell ref="A1:D1"/>
    <mergeCell ref="I5:J5"/>
    <mergeCell ref="I15:J15"/>
    <mergeCell ref="I16:J16"/>
    <mergeCell ref="A10:C10"/>
    <mergeCell ref="H3:R3"/>
    <mergeCell ref="H11:R11"/>
    <mergeCell ref="J1:O2"/>
    <mergeCell ref="E1:I1"/>
  </mergeCells>
  <pageMargins left="0.19685039370078741" right="0.19685039370078741" top="0.31496062992125984" bottom="0.78740157480314965" header="0.31496062992125984" footer="0.31496062992125984"/>
  <pageSetup paperSize="9" scale="80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31"/>
  <sheetViews>
    <sheetView showGridLines="0" tabSelected="1" topLeftCell="B10" zoomScale="90" zoomScaleNormal="90" workbookViewId="0">
      <selection activeCell="P30" sqref="P30"/>
    </sheetView>
  </sheetViews>
  <sheetFormatPr defaultRowHeight="14.25"/>
  <cols>
    <col min="1" max="4" width="11.625" customWidth="1"/>
    <col min="6" max="6" width="0.125" customWidth="1"/>
    <col min="7" max="7" width="2.25" customWidth="1"/>
    <col min="8" max="8" width="8.625" customWidth="1"/>
    <col min="9" max="9" width="15.375" customWidth="1"/>
    <col min="10" max="10" width="13.75" customWidth="1"/>
    <col min="11" max="11" width="10.25" customWidth="1"/>
    <col min="12" max="12" width="14.625" customWidth="1"/>
    <col min="13" max="13" width="11.125" customWidth="1"/>
    <col min="14" max="14" width="10.375" customWidth="1"/>
    <col min="15" max="15" width="11.625" customWidth="1"/>
    <col min="16" max="16" width="10.75" customWidth="1"/>
    <col min="18" max="18" width="14.875" customWidth="1"/>
    <col min="19" max="19" width="2.25" customWidth="1"/>
    <col min="20" max="20" width="0" hidden="1" customWidth="1"/>
    <col min="21" max="21" width="13.75" hidden="1" customWidth="1"/>
    <col min="22" max="22" width="15" hidden="1" customWidth="1"/>
    <col min="23" max="23" width="31.75" hidden="1" customWidth="1"/>
    <col min="24" max="24" width="30.375" hidden="1" customWidth="1"/>
  </cols>
  <sheetData>
    <row r="1" spans="1:24" ht="15">
      <c r="A1" s="52" t="s">
        <v>42</v>
      </c>
      <c r="B1" s="53"/>
      <c r="C1" s="53"/>
      <c r="D1" s="54"/>
      <c r="E1" s="86" t="s">
        <v>2757</v>
      </c>
      <c r="F1" s="87"/>
      <c r="G1" s="87"/>
      <c r="H1" s="87"/>
      <c r="I1" s="88"/>
      <c r="J1" s="82" t="s">
        <v>37</v>
      </c>
      <c r="K1" s="82"/>
      <c r="L1" s="82"/>
      <c r="M1" s="82"/>
      <c r="N1" s="82"/>
      <c r="O1" s="82"/>
    </row>
    <row r="2" spans="1:24">
      <c r="A2" s="84" t="s">
        <v>38</v>
      </c>
      <c r="B2" s="84"/>
      <c r="C2" s="84"/>
      <c r="D2" s="84"/>
      <c r="E2" s="10"/>
      <c r="J2" s="82"/>
      <c r="K2" s="82"/>
      <c r="L2" s="82"/>
      <c r="M2" s="82"/>
      <c r="N2" s="82"/>
      <c r="O2" s="82"/>
      <c r="V2" s="52" t="s">
        <v>35</v>
      </c>
      <c r="W2" s="53"/>
      <c r="X2" s="54"/>
    </row>
    <row r="3" spans="1:24" ht="15">
      <c r="A3" s="1" t="s">
        <v>1</v>
      </c>
      <c r="B3" s="1" t="s">
        <v>2</v>
      </c>
      <c r="C3" s="1" t="s">
        <v>3</v>
      </c>
      <c r="D3" s="1" t="s">
        <v>4</v>
      </c>
      <c r="E3" s="10"/>
      <c r="G3" s="29"/>
      <c r="H3" s="83" t="s">
        <v>31</v>
      </c>
      <c r="I3" s="83"/>
      <c r="J3" s="83"/>
      <c r="K3" s="83"/>
      <c r="L3" s="83"/>
      <c r="M3" s="83"/>
      <c r="N3" s="83"/>
      <c r="O3" s="83"/>
      <c r="P3" s="83"/>
      <c r="Q3" s="83"/>
      <c r="R3" s="83"/>
      <c r="S3" s="29"/>
      <c r="V3" s="79" t="s">
        <v>32</v>
      </c>
      <c r="W3" s="80"/>
      <c r="X3" s="81"/>
    </row>
    <row r="4" spans="1:24" ht="18.75" customHeight="1">
      <c r="A4" s="2"/>
      <c r="B4" s="2">
        <v>2428.8000000000002</v>
      </c>
      <c r="C4" s="3">
        <v>0</v>
      </c>
      <c r="D4" s="2">
        <v>0</v>
      </c>
      <c r="E4" s="11"/>
      <c r="G4" s="29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29"/>
      <c r="V4" s="25" t="s">
        <v>33</v>
      </c>
      <c r="W4" s="26" t="s">
        <v>34</v>
      </c>
      <c r="X4" s="27" t="s">
        <v>41</v>
      </c>
    </row>
    <row r="5" spans="1:24">
      <c r="A5" s="2">
        <v>2428.81</v>
      </c>
      <c r="B5" s="2">
        <v>2826.65</v>
      </c>
      <c r="C5" s="3">
        <v>7.5</v>
      </c>
      <c r="D5" s="2">
        <v>182.16</v>
      </c>
      <c r="E5" s="11"/>
      <c r="G5" s="29"/>
      <c r="H5" s="4"/>
      <c r="I5" s="55" t="s">
        <v>7</v>
      </c>
      <c r="J5" s="55"/>
      <c r="K5" s="4"/>
      <c r="L5" s="15"/>
      <c r="M5" s="4"/>
      <c r="N5" s="4"/>
      <c r="O5" s="4"/>
      <c r="P5" s="4"/>
      <c r="Q5" s="4"/>
      <c r="R5" s="4"/>
      <c r="S5" s="29"/>
      <c r="U5" s="74" t="s">
        <v>36</v>
      </c>
      <c r="V5" s="71">
        <v>0</v>
      </c>
      <c r="W5" s="71" t="e">
        <f>$X$5-$W$8</f>
        <v>#VALUE!</v>
      </c>
      <c r="X5" s="71" t="e">
        <f>IF(L8&lt;=$B$4,0,IF(AND(L8&gt;=$A$5,L8&lt;=$B$5),TRUNC(L8*$C$5/100-$D$5,2),IF(AND(L8&gt;=$A$6,L8&lt;=$B$6),TRUNC(L8*$C$6/100-$D$6,2),IF(AND(L8&gt;=$A$7,L8&lt;=$B$7),TRUNC(L8*$C$7/100-$D$7,2),IF(L8&gt;=$A$8,TRUNC(L8*$C$8/100-$D$8,2),"")))))</f>
        <v>#VALUE!</v>
      </c>
    </row>
    <row r="6" spans="1:24">
      <c r="A6" s="2">
        <v>2826.66</v>
      </c>
      <c r="B6" s="2">
        <v>3751.05</v>
      </c>
      <c r="C6" s="3">
        <v>15</v>
      </c>
      <c r="D6" s="2">
        <v>394.16</v>
      </c>
      <c r="E6" s="11"/>
      <c r="G6" s="29"/>
      <c r="H6" s="4"/>
      <c r="I6" s="4" t="s">
        <v>8</v>
      </c>
      <c r="J6" s="4"/>
      <c r="K6" s="4"/>
      <c r="L6" s="15"/>
      <c r="M6" s="4"/>
      <c r="N6" s="56" t="s">
        <v>27</v>
      </c>
      <c r="O6" s="56"/>
      <c r="P6" s="89"/>
      <c r="Q6" s="7">
        <f>IF(L6+P7&lt;C11,C11,L6+P7)</f>
        <v>607.20000000000005</v>
      </c>
      <c r="R6" s="4"/>
      <c r="S6" s="29"/>
      <c r="U6" s="74"/>
      <c r="V6" s="71"/>
      <c r="W6" s="71"/>
      <c r="X6" s="71"/>
    </row>
    <row r="7" spans="1:24">
      <c r="A7" s="2">
        <v>3751.06</v>
      </c>
      <c r="B7" s="2">
        <v>4664.68</v>
      </c>
      <c r="C7" s="3">
        <v>22.5</v>
      </c>
      <c r="D7" s="2">
        <v>675.49</v>
      </c>
      <c r="E7" s="11"/>
      <c r="G7" s="29"/>
      <c r="H7" s="4"/>
      <c r="I7" s="4" t="s">
        <v>9</v>
      </c>
      <c r="J7" s="4"/>
      <c r="K7" s="4"/>
      <c r="L7" s="16"/>
      <c r="M7" s="4" t="s">
        <v>10</v>
      </c>
      <c r="N7" s="4"/>
      <c r="O7" s="4"/>
      <c r="P7" s="7">
        <f>L7*D10</f>
        <v>0</v>
      </c>
      <c r="Q7" s="4"/>
      <c r="R7" s="4"/>
      <c r="S7" s="29"/>
      <c r="W7" s="22" t="s">
        <v>39</v>
      </c>
    </row>
    <row r="8" spans="1:24">
      <c r="A8" s="2">
        <v>4664.68</v>
      </c>
      <c r="B8" s="2"/>
      <c r="C8" s="3">
        <v>27.5</v>
      </c>
      <c r="D8" s="2">
        <v>908.73</v>
      </c>
      <c r="E8" s="11"/>
      <c r="G8" s="29"/>
      <c r="H8" s="4"/>
      <c r="I8" s="4" t="s">
        <v>11</v>
      </c>
      <c r="J8" s="4"/>
      <c r="K8" s="4"/>
      <c r="L8" s="7" t="str">
        <f>IF(AND(L5&gt;0,L6&gt;0),L5-Q6,"")</f>
        <v/>
      </c>
      <c r="M8" s="4"/>
      <c r="N8" s="4"/>
      <c r="O8" s="4"/>
      <c r="P8" s="4"/>
      <c r="Q8" s="4"/>
      <c r="R8" s="4"/>
      <c r="S8" s="29"/>
      <c r="W8" s="73">
        <f>IF(AND(L5&gt;5000,L5&lt;=7350),978.62-(0.133145*L5),0)</f>
        <v>0</v>
      </c>
    </row>
    <row r="9" spans="1:24">
      <c r="E9" s="10"/>
      <c r="G9" s="29"/>
      <c r="H9" s="4"/>
      <c r="I9" s="4" t="s">
        <v>6</v>
      </c>
      <c r="J9" s="7">
        <f>IF(L5&lt;=5000,V5,IF(AND(L5&gt;5000,L5&lt;=7350),W5,X5))</f>
        <v>0</v>
      </c>
      <c r="K9" s="4"/>
      <c r="L9" s="5" t="s">
        <v>28</v>
      </c>
      <c r="M9" s="4"/>
      <c r="N9" s="4"/>
      <c r="O9" s="4"/>
      <c r="P9" s="4"/>
      <c r="Q9" s="4"/>
      <c r="R9" s="4"/>
      <c r="S9" s="29"/>
      <c r="U9" s="12"/>
      <c r="W9" s="73"/>
    </row>
    <row r="10" spans="1:24">
      <c r="A10" s="57" t="s">
        <v>5</v>
      </c>
      <c r="B10" s="57"/>
      <c r="C10" s="57"/>
      <c r="D10" s="2">
        <v>189.59</v>
      </c>
      <c r="E10" s="11"/>
      <c r="G10" s="29"/>
      <c r="H10" s="4"/>
      <c r="I10" s="4" t="s">
        <v>20</v>
      </c>
      <c r="J10" s="7">
        <f>L5-L6-J9</f>
        <v>0</v>
      </c>
      <c r="K10" s="4"/>
      <c r="L10" s="5" t="s">
        <v>29</v>
      </c>
      <c r="M10" s="4"/>
      <c r="N10" s="4"/>
      <c r="O10" s="4"/>
      <c r="P10" s="4"/>
      <c r="Q10" s="4"/>
      <c r="R10" s="4"/>
      <c r="S10" s="29"/>
      <c r="W10" s="28" t="s">
        <v>40</v>
      </c>
    </row>
    <row r="11" spans="1:24" ht="15">
      <c r="A11" s="52" t="s">
        <v>30</v>
      </c>
      <c r="B11" s="54"/>
      <c r="C11" s="2">
        <v>607.20000000000005</v>
      </c>
      <c r="G11" s="29"/>
      <c r="H11" s="83" t="s">
        <v>22</v>
      </c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29"/>
    </row>
    <row r="12" spans="1:24">
      <c r="G12" s="29"/>
      <c r="H12" s="4"/>
      <c r="I12" s="6"/>
      <c r="J12" s="6"/>
      <c r="K12" s="6"/>
      <c r="L12" s="6"/>
      <c r="M12" s="6"/>
      <c r="N12" s="6"/>
      <c r="O12" s="6"/>
      <c r="P12" s="6"/>
      <c r="Q12" s="6"/>
      <c r="R12" s="4"/>
      <c r="S12" s="29"/>
    </row>
    <row r="13" spans="1:24" ht="15">
      <c r="A13" s="14" t="s">
        <v>21</v>
      </c>
      <c r="G13" s="29"/>
      <c r="H13" s="4"/>
      <c r="I13" s="4" t="s">
        <v>12</v>
      </c>
      <c r="J13" s="15"/>
      <c r="K13" s="4"/>
      <c r="L13" s="4" t="s">
        <v>14</v>
      </c>
      <c r="M13" s="7">
        <f>TRUNC(J13*0.11,2)</f>
        <v>0</v>
      </c>
      <c r="N13" s="18" t="str">
        <f>IF(AND(TRUNC(J13*0.11,2)+Q6&lt;C11,J13&lt;&gt;"",J13&gt;0),C11,IF(AND(TRUNC(J13*0.11,2)+Q6&gt;=C11,J13&lt;&gt;"",J13&gt;0),TRUNC(J13*0.11,2)+Q6,""))</f>
        <v/>
      </c>
      <c r="O13" s="4" t="s">
        <v>15</v>
      </c>
      <c r="P13" s="4"/>
      <c r="Q13" s="7">
        <f>TRUNC(J13*0.2,2)</f>
        <v>0</v>
      </c>
      <c r="R13" s="4"/>
      <c r="S13" s="29"/>
      <c r="V13" s="76" t="s">
        <v>43</v>
      </c>
      <c r="W13" s="77"/>
      <c r="X13" s="78"/>
    </row>
    <row r="14" spans="1:24">
      <c r="G14" s="29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29"/>
      <c r="V14" s="79" t="s">
        <v>32</v>
      </c>
      <c r="W14" s="80"/>
      <c r="X14" s="81"/>
    </row>
    <row r="15" spans="1:24">
      <c r="G15" s="29"/>
      <c r="H15" s="4"/>
      <c r="I15" s="56" t="s">
        <v>13</v>
      </c>
      <c r="J15" s="56"/>
      <c r="K15" s="4"/>
      <c r="L15" s="7">
        <f>L5+J13</f>
        <v>0</v>
      </c>
      <c r="M15" s="4"/>
      <c r="N15" s="4"/>
      <c r="O15" s="4"/>
      <c r="P15" s="4"/>
      <c r="Q15" s="4"/>
      <c r="R15" s="4"/>
      <c r="S15" s="29"/>
      <c r="V15" s="25" t="s">
        <v>33</v>
      </c>
      <c r="W15" s="26" t="s">
        <v>34</v>
      </c>
      <c r="X15" s="27" t="s">
        <v>41</v>
      </c>
    </row>
    <row r="16" spans="1:24">
      <c r="G16" s="29"/>
      <c r="H16" s="4"/>
      <c r="I16" s="55" t="s">
        <v>8</v>
      </c>
      <c r="J16" s="55"/>
      <c r="K16" s="4"/>
      <c r="L16" s="7">
        <f>IF(L6+M13&lt;C11,C11,L6+M13)</f>
        <v>607.20000000000005</v>
      </c>
      <c r="M16" s="4"/>
      <c r="N16" s="4"/>
      <c r="O16" s="4"/>
      <c r="P16" s="4"/>
      <c r="Q16" s="4"/>
      <c r="R16" s="4"/>
      <c r="S16" s="29"/>
      <c r="T16" s="74" t="s">
        <v>44</v>
      </c>
      <c r="U16" s="75"/>
      <c r="V16" s="71">
        <v>0</v>
      </c>
      <c r="W16" s="71" t="e">
        <f>$X$16-W19</f>
        <v>#VALUE!</v>
      </c>
      <c r="X16" s="71" t="str">
        <f>IF(AND(J13&lt;&gt;"",J13&lt;&gt;0),IF(L18&lt;=$B$4,0,IF(AND(L18&gt;=$A$5,L18&lt;=$B$5),TRUNC(L18*$C$5/100-$D$5,2),IF(AND(L18&gt;=$A$6,L18&lt;=$B$6),TRUNC(L18*$C$6/100-$D$6,2),IF(AND(L18&gt;=$A$7,L18&lt;=$B$7),TRUNC(L18*$C$7/100-$D$7,2),IF(L18&gt;=$A$8,TRUNC(L18*$C$8/100-$D$8,2),"")))))-J9,"")</f>
        <v/>
      </c>
    </row>
    <row r="17" spans="1:24">
      <c r="G17" s="29"/>
      <c r="H17" s="4"/>
      <c r="I17" s="4" t="s">
        <v>9</v>
      </c>
      <c r="J17" s="4"/>
      <c r="K17" s="4"/>
      <c r="L17" s="8">
        <f>L7</f>
        <v>0</v>
      </c>
      <c r="M17" s="4" t="s">
        <v>10</v>
      </c>
      <c r="N17" s="4"/>
      <c r="O17" s="4"/>
      <c r="P17" s="7">
        <f>L17*D10</f>
        <v>0</v>
      </c>
      <c r="Q17" s="4"/>
      <c r="R17" s="4"/>
      <c r="S17" s="29"/>
      <c r="T17" s="74"/>
      <c r="U17" s="75"/>
      <c r="V17" s="71"/>
      <c r="W17" s="71"/>
      <c r="X17" s="71"/>
    </row>
    <row r="18" spans="1:24">
      <c r="G18" s="29"/>
      <c r="H18" s="4"/>
      <c r="I18" s="4" t="s">
        <v>11</v>
      </c>
      <c r="J18" s="4"/>
      <c r="K18" s="4"/>
      <c r="L18" s="7" t="str">
        <f>IF(AND(J13&lt;&gt;"",J13&lt;&gt;0),L15-L16-P17,"")</f>
        <v/>
      </c>
      <c r="M18" s="17"/>
      <c r="N18" s="19"/>
      <c r="O18" s="19"/>
      <c r="P18" s="4"/>
      <c r="Q18" s="4"/>
      <c r="R18" s="4"/>
      <c r="S18" s="29"/>
      <c r="W18" s="22" t="s">
        <v>39</v>
      </c>
    </row>
    <row r="19" spans="1:24" ht="15.75" customHeight="1">
      <c r="G19" s="29"/>
      <c r="H19" s="4"/>
      <c r="I19" s="4" t="s">
        <v>17</v>
      </c>
      <c r="J19" s="4"/>
      <c r="K19" s="4"/>
      <c r="L19" s="7">
        <f>J13-M13</f>
        <v>0</v>
      </c>
      <c r="M19" s="5" t="s">
        <v>57</v>
      </c>
      <c r="N19" s="4"/>
      <c r="O19" s="4"/>
      <c r="P19" s="4"/>
      <c r="Q19" s="4"/>
      <c r="R19" s="4"/>
      <c r="S19" s="29"/>
      <c r="W19" s="73">
        <f>IF(AND(L15&gt;5000,L15&lt;=7350),978.62-(0.133145*L15),0)</f>
        <v>0</v>
      </c>
    </row>
    <row r="20" spans="1:24" ht="15">
      <c r="G20" s="29"/>
      <c r="H20" s="4"/>
      <c r="I20" s="72" t="s">
        <v>6</v>
      </c>
      <c r="J20" s="72"/>
      <c r="K20" s="4"/>
      <c r="L20" s="7">
        <f>IF(AND(L5&lt;&gt;0,L6&lt;&gt;0),IF(L15&lt;=5000,V16,IF(AND(L15&gt;5000,L15&lt;=7350),W16,X16)),0)</f>
        <v>0</v>
      </c>
      <c r="M20" s="5" t="s">
        <v>58</v>
      </c>
      <c r="N20" s="4"/>
      <c r="O20" s="4"/>
      <c r="P20" s="4"/>
      <c r="Q20" s="4"/>
      <c r="R20" s="4"/>
      <c r="S20" s="29"/>
      <c r="U20" s="12"/>
      <c r="W20" s="73"/>
    </row>
    <row r="21" spans="1:24" ht="15">
      <c r="A21" s="13" t="s">
        <v>24</v>
      </c>
      <c r="G21" s="29"/>
      <c r="H21" s="4"/>
      <c r="I21" s="34" t="s">
        <v>20</v>
      </c>
      <c r="J21" s="20"/>
      <c r="K21" s="20"/>
      <c r="L21" s="7">
        <f>J13-M13-L20</f>
        <v>0</v>
      </c>
      <c r="M21" s="21"/>
      <c r="N21" s="21"/>
      <c r="O21" s="21"/>
      <c r="P21" s="21"/>
      <c r="Q21" s="21"/>
      <c r="R21" s="4"/>
      <c r="S21" s="29"/>
      <c r="W21" s="28" t="s">
        <v>40</v>
      </c>
    </row>
    <row r="22" spans="1:24" ht="15">
      <c r="A22" s="13"/>
      <c r="G22" s="29"/>
      <c r="H22" s="4"/>
      <c r="I22" s="34"/>
      <c r="J22" s="20"/>
      <c r="K22" s="20"/>
      <c r="L22" s="21"/>
      <c r="M22" s="21"/>
      <c r="N22" s="21"/>
      <c r="O22" s="21"/>
      <c r="P22" s="21"/>
      <c r="Q22" s="21"/>
      <c r="R22" s="4"/>
      <c r="S22" s="29"/>
      <c r="W22" s="28"/>
    </row>
    <row r="23" spans="1:24">
      <c r="G23" s="39"/>
      <c r="H23" s="85" t="s">
        <v>2749</v>
      </c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39"/>
    </row>
    <row r="24" spans="1:24">
      <c r="L24" s="40"/>
    </row>
    <row r="25" spans="1:24" ht="15">
      <c r="G25" s="65" t="s">
        <v>2744</v>
      </c>
      <c r="H25" s="65"/>
      <c r="I25" s="66"/>
      <c r="J25" s="66"/>
      <c r="K25" s="66"/>
      <c r="L25" s="45" t="s">
        <v>2745</v>
      </c>
      <c r="M25" s="67"/>
      <c r="N25" s="67"/>
      <c r="O25" s="68" t="s">
        <v>2746</v>
      </c>
      <c r="P25" s="68"/>
      <c r="Q25" s="69"/>
      <c r="R25" s="69"/>
      <c r="S25" s="43"/>
    </row>
    <row r="27" spans="1:24" ht="15">
      <c r="G27" s="64" t="s">
        <v>61</v>
      </c>
      <c r="H27" s="64"/>
      <c r="I27" s="64"/>
      <c r="J27" s="47"/>
      <c r="L27" s="90" t="s">
        <v>2754</v>
      </c>
      <c r="M27" s="47"/>
      <c r="N27" s="90" t="s">
        <v>2752</v>
      </c>
      <c r="O27" s="47"/>
      <c r="P27" s="90" t="s">
        <v>2753</v>
      </c>
      <c r="Q27" s="95"/>
      <c r="R27" s="95"/>
    </row>
    <row r="28" spans="1:24" s="92" customFormat="1" ht="26.25" customHeight="1">
      <c r="L28" s="93" t="s">
        <v>2759</v>
      </c>
      <c r="N28" s="94" t="s">
        <v>2758</v>
      </c>
      <c r="O28" s="94"/>
    </row>
    <row r="29" spans="1:24" ht="15">
      <c r="G29" s="64" t="s">
        <v>62</v>
      </c>
      <c r="H29" s="64"/>
      <c r="I29" s="70"/>
      <c r="J29" s="70"/>
      <c r="K29" s="70"/>
      <c r="L29" s="70"/>
      <c r="M29" s="48"/>
      <c r="N29" s="91"/>
      <c r="O29" s="44"/>
    </row>
    <row r="30" spans="1:24">
      <c r="I30" s="63" t="s">
        <v>2751</v>
      </c>
      <c r="J30" s="63"/>
      <c r="K30" s="63"/>
      <c r="L30" s="63"/>
    </row>
    <row r="31" spans="1:24">
      <c r="I31" s="63"/>
      <c r="J31" s="63"/>
      <c r="K31" s="63"/>
      <c r="L31" s="63"/>
    </row>
  </sheetData>
  <sheetProtection password="C60F" sheet="1" objects="1" scenarios="1"/>
  <mergeCells count="39">
    <mergeCell ref="I15:J15"/>
    <mergeCell ref="I16:J16"/>
    <mergeCell ref="H23:R23"/>
    <mergeCell ref="E1:I1"/>
    <mergeCell ref="N6:P6"/>
    <mergeCell ref="A11:B11"/>
    <mergeCell ref="A1:D1"/>
    <mergeCell ref="J1:O2"/>
    <mergeCell ref="H3:R3"/>
    <mergeCell ref="I5:J5"/>
    <mergeCell ref="A10:C10"/>
    <mergeCell ref="A2:D2"/>
    <mergeCell ref="H11:R11"/>
    <mergeCell ref="V2:X2"/>
    <mergeCell ref="V3:X3"/>
    <mergeCell ref="X5:X6"/>
    <mergeCell ref="W5:W6"/>
    <mergeCell ref="V5:V6"/>
    <mergeCell ref="W16:W17"/>
    <mergeCell ref="X16:X17"/>
    <mergeCell ref="W19:W20"/>
    <mergeCell ref="T16:U17"/>
    <mergeCell ref="U5:U6"/>
    <mergeCell ref="W8:W9"/>
    <mergeCell ref="V13:X13"/>
    <mergeCell ref="V14:X14"/>
    <mergeCell ref="O25:P25"/>
    <mergeCell ref="Q25:R25"/>
    <mergeCell ref="G29:H29"/>
    <mergeCell ref="I29:L29"/>
    <mergeCell ref="V16:V17"/>
    <mergeCell ref="I20:J20"/>
    <mergeCell ref="Q27:R27"/>
    <mergeCell ref="N28:O28"/>
    <mergeCell ref="I30:L31"/>
    <mergeCell ref="G27:I27"/>
    <mergeCell ref="G25:H25"/>
    <mergeCell ref="I25:K25"/>
    <mergeCell ref="M25:N25"/>
  </mergeCells>
  <dataValidations count="1">
    <dataValidation type="list" allowBlank="1" showInputMessage="1" sqref="I29">
      <formula1>ListaCBO</formula1>
    </dataValidation>
  </dataValidations>
  <pageMargins left="0.19685039370078741" right="0.19685039370078741" top="0.31496062992125984" bottom="0.78740157480314965" header="0.31496062992125984" footer="0.31496062992125984"/>
  <pageSetup paperSize="9" scale="72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>
      <selection activeCell="G7" sqref="G7"/>
    </sheetView>
  </sheetViews>
  <sheetFormatPr defaultRowHeight="14.25"/>
  <cols>
    <col min="1" max="1" width="14.625" style="23" customWidth="1"/>
    <col min="2" max="2" width="12.625" style="23" customWidth="1"/>
    <col min="3" max="3" width="79.25" style="23" customWidth="1"/>
  </cols>
  <sheetData>
    <row r="1" spans="1:3">
      <c r="A1" s="30" t="s">
        <v>45</v>
      </c>
      <c r="B1" s="24" t="s">
        <v>46</v>
      </c>
      <c r="C1" s="24" t="s">
        <v>47</v>
      </c>
    </row>
    <row r="2" spans="1:3">
      <c r="A2" s="31">
        <v>46043</v>
      </c>
      <c r="B2" s="23" t="s">
        <v>48</v>
      </c>
      <c r="C2" s="23" t="s">
        <v>52</v>
      </c>
    </row>
    <row r="3" spans="1:3">
      <c r="A3" s="33">
        <v>46046</v>
      </c>
      <c r="B3" s="32" t="s">
        <v>49</v>
      </c>
      <c r="C3" s="32" t="s">
        <v>50</v>
      </c>
    </row>
    <row r="4" spans="1:3">
      <c r="A4" s="31"/>
      <c r="C4" s="23" t="s">
        <v>51</v>
      </c>
    </row>
    <row r="5" spans="1:3" s="38" customFormat="1" ht="28.5">
      <c r="A5" s="35">
        <v>46052</v>
      </c>
      <c r="B5" s="36" t="s">
        <v>53</v>
      </c>
      <c r="C5" s="37" t="s">
        <v>56</v>
      </c>
    </row>
    <row r="6" spans="1:3">
      <c r="A6" s="31">
        <v>46056</v>
      </c>
      <c r="B6" s="31" t="s">
        <v>54</v>
      </c>
      <c r="C6" s="23" t="s">
        <v>55</v>
      </c>
    </row>
    <row r="7" spans="1:3">
      <c r="A7" s="33">
        <v>46212</v>
      </c>
      <c r="B7" s="32" t="s">
        <v>60</v>
      </c>
      <c r="C7" s="32" t="s">
        <v>59</v>
      </c>
    </row>
    <row r="8" spans="1:3" s="38" customFormat="1" ht="45.75" customHeight="1">
      <c r="A8" s="49">
        <v>46227</v>
      </c>
      <c r="B8" s="50" t="s">
        <v>2747</v>
      </c>
      <c r="C8" s="51" t="s">
        <v>2748</v>
      </c>
    </row>
    <row r="9" spans="1:3">
      <c r="A9" s="33">
        <v>46251</v>
      </c>
      <c r="B9" s="32" t="s">
        <v>2755</v>
      </c>
      <c r="C9" s="32" t="s">
        <v>2756</v>
      </c>
    </row>
    <row r="11" spans="1:3">
      <c r="A11" s="32"/>
      <c r="B11" s="32"/>
      <c r="C11" s="32"/>
    </row>
  </sheetData>
  <sheetProtection password="C60F" sheet="1" objects="1" scenarios="1"/>
  <phoneticPr fontId="1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82"/>
  <sheetViews>
    <sheetView topLeftCell="A639" workbookViewId="0">
      <selection activeCell="E649" sqref="E649"/>
    </sheetView>
  </sheetViews>
  <sheetFormatPr defaultRowHeight="14.25"/>
  <cols>
    <col min="1" max="1" width="41.5" customWidth="1"/>
  </cols>
  <sheetData>
    <row r="1" spans="1:4">
      <c r="A1" s="41" t="s">
        <v>63</v>
      </c>
    </row>
    <row r="2" spans="1:4">
      <c r="A2" s="41" t="s">
        <v>64</v>
      </c>
    </row>
    <row r="3" spans="1:4">
      <c r="A3" s="42" t="s">
        <v>65</v>
      </c>
      <c r="B3">
        <f>IFERROR(FIND('Simulador IR 2025'!$I$29, A3), 0)</f>
        <v>1</v>
      </c>
      <c r="C3">
        <f>IF(B3&gt;0, MAX($C$2:C2)+1, "")</f>
        <v>1</v>
      </c>
      <c r="D3" t="str">
        <f>IFERROR(INDEX($A$3:$A$4999, MATCH(ROW(A1), $C$3:$C$4999, 0)), "")</f>
        <v>10105 Oficial general da aeronáutica</v>
      </c>
    </row>
    <row r="4" spans="1:4">
      <c r="A4" s="42" t="s">
        <v>66</v>
      </c>
      <c r="B4">
        <f>IFERROR(FIND('Simulador IR 2025'!$I$29, A4), 0)</f>
        <v>1</v>
      </c>
      <c r="C4">
        <f>IF(B4&gt;0, MAX($C$2:C3)+1, "")</f>
        <v>2</v>
      </c>
      <c r="D4" t="str">
        <f t="shared" ref="D4:D67" si="0">IFERROR(VLOOKUP(ROW(A2), $A$3:$C$2681, -2, FALSE), "")</f>
        <v/>
      </c>
    </row>
    <row r="5" spans="1:4">
      <c r="A5" s="42" t="s">
        <v>67</v>
      </c>
      <c r="B5">
        <f>IFERROR(FIND('Simulador IR 2025'!$I$29, A5), 0)</f>
        <v>1</v>
      </c>
      <c r="C5">
        <f>IF(B5&gt;0, MAX($C$2:C4)+1, "")</f>
        <v>3</v>
      </c>
      <c r="D5" t="str">
        <f t="shared" si="0"/>
        <v/>
      </c>
    </row>
    <row r="6" spans="1:4">
      <c r="A6" s="42" t="s">
        <v>68</v>
      </c>
      <c r="B6">
        <f>IFERROR(FIND('Simulador IR 2025'!$I$29, A6), 0)</f>
        <v>1</v>
      </c>
      <c r="C6">
        <f>IF(B6&gt;0, MAX($C$2:C5)+1, "")</f>
        <v>4</v>
      </c>
      <c r="D6" t="str">
        <f t="shared" si="0"/>
        <v/>
      </c>
    </row>
    <row r="7" spans="1:4">
      <c r="A7" s="42" t="s">
        <v>69</v>
      </c>
      <c r="B7">
        <f>IFERROR(FIND('Simulador IR 2025'!$I$29, A7), 0)</f>
        <v>1</v>
      </c>
      <c r="C7">
        <f>IF(B7&gt;0, MAX($C$2:C6)+1, "")</f>
        <v>5</v>
      </c>
      <c r="D7" t="str">
        <f t="shared" si="0"/>
        <v/>
      </c>
    </row>
    <row r="8" spans="1:4">
      <c r="A8" s="42" t="s">
        <v>70</v>
      </c>
      <c r="B8">
        <f>IFERROR(FIND('Simulador IR 2025'!$I$29, A8), 0)</f>
        <v>1</v>
      </c>
      <c r="C8">
        <f>IF(B8&gt;0, MAX($C$2:C7)+1, "")</f>
        <v>6</v>
      </c>
      <c r="D8" t="str">
        <f t="shared" si="0"/>
        <v/>
      </c>
    </row>
    <row r="9" spans="1:4">
      <c r="A9" s="42" t="s">
        <v>71</v>
      </c>
      <c r="B9">
        <f>IFERROR(FIND('Simulador IR 2025'!$I$29, A9), 0)</f>
        <v>1</v>
      </c>
      <c r="C9">
        <f>IF(B9&gt;0, MAX($C$2:C8)+1, "")</f>
        <v>7</v>
      </c>
      <c r="D9" t="str">
        <f t="shared" si="0"/>
        <v/>
      </c>
    </row>
    <row r="10" spans="1:4">
      <c r="A10" s="42" t="s">
        <v>72</v>
      </c>
      <c r="B10">
        <f>IFERROR(FIND('Simulador IR 2025'!$I$29, A10), 0)</f>
        <v>1</v>
      </c>
      <c r="C10">
        <f>IF(B10&gt;0, MAX($C$2:C9)+1, "")</f>
        <v>8</v>
      </c>
      <c r="D10" t="str">
        <f t="shared" si="0"/>
        <v/>
      </c>
    </row>
    <row r="11" spans="1:4">
      <c r="A11" s="42" t="s">
        <v>73</v>
      </c>
      <c r="B11">
        <f>IFERROR(FIND('Simulador IR 2025'!$I$29, A11), 0)</f>
        <v>1</v>
      </c>
      <c r="C11">
        <f>IF(B11&gt;0, MAX($C$2:C10)+1, "")</f>
        <v>9</v>
      </c>
      <c r="D11" t="str">
        <f t="shared" si="0"/>
        <v/>
      </c>
    </row>
    <row r="12" spans="1:4">
      <c r="A12" s="42" t="s">
        <v>74</v>
      </c>
      <c r="B12">
        <f>IFERROR(FIND('Simulador IR 2025'!$I$29, A12), 0)</f>
        <v>1</v>
      </c>
      <c r="C12">
        <f>IF(B12&gt;0, MAX($C$2:C11)+1, "")</f>
        <v>10</v>
      </c>
      <c r="D12" t="str">
        <f t="shared" si="0"/>
        <v/>
      </c>
    </row>
    <row r="13" spans="1:4">
      <c r="A13" s="42" t="s">
        <v>75</v>
      </c>
      <c r="B13">
        <f>IFERROR(FIND('Simulador IR 2025'!$I$29, A13), 0)</f>
        <v>1</v>
      </c>
      <c r="C13">
        <f>IF(B13&gt;0, MAX($C$2:C12)+1, "")</f>
        <v>11</v>
      </c>
      <c r="D13" t="str">
        <f t="shared" si="0"/>
        <v/>
      </c>
    </row>
    <row r="14" spans="1:4">
      <c r="A14" s="42" t="s">
        <v>76</v>
      </c>
      <c r="B14">
        <f>IFERROR(FIND('Simulador IR 2025'!$I$29, A14), 0)</f>
        <v>1</v>
      </c>
      <c r="C14">
        <f>IF(B14&gt;0, MAX($C$2:C13)+1, "")</f>
        <v>12</v>
      </c>
      <c r="D14" t="str">
        <f t="shared" si="0"/>
        <v/>
      </c>
    </row>
    <row r="15" spans="1:4">
      <c r="A15" s="42" t="s">
        <v>77</v>
      </c>
      <c r="B15">
        <f>IFERROR(FIND('Simulador IR 2025'!$I$29, A15), 0)</f>
        <v>1</v>
      </c>
      <c r="C15">
        <f>IF(B15&gt;0, MAX($C$2:C14)+1, "")</f>
        <v>13</v>
      </c>
      <c r="D15" t="str">
        <f t="shared" si="0"/>
        <v/>
      </c>
    </row>
    <row r="16" spans="1:4">
      <c r="A16" s="42" t="s">
        <v>78</v>
      </c>
      <c r="B16">
        <f>IFERROR(FIND('Simulador IR 2025'!$I$29, A16), 0)</f>
        <v>1</v>
      </c>
      <c r="C16">
        <f>IF(B16&gt;0, MAX($C$2:C15)+1, "")</f>
        <v>14</v>
      </c>
      <c r="D16" t="str">
        <f t="shared" si="0"/>
        <v/>
      </c>
    </row>
    <row r="17" spans="1:4">
      <c r="A17" s="42" t="s">
        <v>79</v>
      </c>
      <c r="B17">
        <f>IFERROR(FIND('Simulador IR 2025'!$I$29, A17), 0)</f>
        <v>1</v>
      </c>
      <c r="C17">
        <f>IF(B17&gt;0, MAX($C$2:C16)+1, "")</f>
        <v>15</v>
      </c>
      <c r="D17" t="str">
        <f t="shared" si="0"/>
        <v/>
      </c>
    </row>
    <row r="18" spans="1:4">
      <c r="A18" s="42" t="s">
        <v>80</v>
      </c>
      <c r="B18">
        <f>IFERROR(FIND('Simulador IR 2025'!$I$29, A18), 0)</f>
        <v>1</v>
      </c>
      <c r="C18">
        <f>IF(B18&gt;0, MAX($C$2:C17)+1, "")</f>
        <v>16</v>
      </c>
      <c r="D18" t="str">
        <f t="shared" si="0"/>
        <v/>
      </c>
    </row>
    <row r="19" spans="1:4">
      <c r="A19" s="42" t="s">
        <v>81</v>
      </c>
      <c r="B19">
        <f>IFERROR(FIND('Simulador IR 2025'!$I$29, A19), 0)</f>
        <v>1</v>
      </c>
      <c r="C19">
        <f>IF(B19&gt;0, MAX($C$2:C18)+1, "")</f>
        <v>17</v>
      </c>
      <c r="D19" t="str">
        <f t="shared" si="0"/>
        <v/>
      </c>
    </row>
    <row r="20" spans="1:4">
      <c r="A20" s="42" t="s">
        <v>82</v>
      </c>
      <c r="B20">
        <f>IFERROR(FIND('Simulador IR 2025'!$I$29, A20), 0)</f>
        <v>1</v>
      </c>
      <c r="C20">
        <f>IF(B20&gt;0, MAX($C$2:C19)+1, "")</f>
        <v>18</v>
      </c>
      <c r="D20" t="str">
        <f t="shared" si="0"/>
        <v/>
      </c>
    </row>
    <row r="21" spans="1:4">
      <c r="A21" s="42" t="s">
        <v>83</v>
      </c>
      <c r="B21">
        <f>IFERROR(FIND('Simulador IR 2025'!$I$29, A21), 0)</f>
        <v>1</v>
      </c>
      <c r="C21">
        <f>IF(B21&gt;0, MAX($C$2:C20)+1, "")</f>
        <v>19</v>
      </c>
      <c r="D21" t="str">
        <f t="shared" si="0"/>
        <v/>
      </c>
    </row>
    <row r="22" spans="1:4">
      <c r="A22" s="42" t="s">
        <v>84</v>
      </c>
      <c r="B22">
        <f>IFERROR(FIND('Simulador IR 2025'!$I$29, A22), 0)</f>
        <v>1</v>
      </c>
      <c r="C22">
        <f>IF(B22&gt;0, MAX($C$2:C21)+1, "")</f>
        <v>20</v>
      </c>
      <c r="D22" t="str">
        <f t="shared" si="0"/>
        <v/>
      </c>
    </row>
    <row r="23" spans="1:4">
      <c r="A23" s="42" t="s">
        <v>85</v>
      </c>
      <c r="B23">
        <f>IFERROR(FIND('Simulador IR 2025'!$I$29, A23), 0)</f>
        <v>1</v>
      </c>
      <c r="C23">
        <f>IF(B23&gt;0, MAX($C$2:C22)+1, "")</f>
        <v>21</v>
      </c>
      <c r="D23" t="str">
        <f t="shared" si="0"/>
        <v/>
      </c>
    </row>
    <row r="24" spans="1:4">
      <c r="A24" s="42" t="s">
        <v>86</v>
      </c>
      <c r="B24">
        <f>IFERROR(FIND('Simulador IR 2025'!$I$29, A24), 0)</f>
        <v>1</v>
      </c>
      <c r="C24">
        <f>IF(B24&gt;0, MAX($C$2:C23)+1, "")</f>
        <v>22</v>
      </c>
      <c r="D24" t="str">
        <f t="shared" si="0"/>
        <v/>
      </c>
    </row>
    <row r="25" spans="1:4">
      <c r="A25" s="42" t="s">
        <v>87</v>
      </c>
      <c r="B25">
        <f>IFERROR(FIND('Simulador IR 2025'!$I$29, A25), 0)</f>
        <v>1</v>
      </c>
      <c r="C25">
        <f>IF(B25&gt;0, MAX($C$2:C24)+1, "")</f>
        <v>23</v>
      </c>
      <c r="D25" t="str">
        <f t="shared" si="0"/>
        <v/>
      </c>
    </row>
    <row r="26" spans="1:4">
      <c r="A26" s="42" t="s">
        <v>88</v>
      </c>
      <c r="B26">
        <f>IFERROR(FIND('Simulador IR 2025'!$I$29, A26), 0)</f>
        <v>1</v>
      </c>
      <c r="C26">
        <f>IF(B26&gt;0, MAX($C$2:C25)+1, "")</f>
        <v>24</v>
      </c>
      <c r="D26" t="str">
        <f t="shared" si="0"/>
        <v/>
      </c>
    </row>
    <row r="27" spans="1:4">
      <c r="A27" s="42" t="s">
        <v>89</v>
      </c>
      <c r="B27">
        <f>IFERROR(FIND('Simulador IR 2025'!$I$29, A27), 0)</f>
        <v>1</v>
      </c>
      <c r="C27">
        <f>IF(B27&gt;0, MAX($C$2:C26)+1, "")</f>
        <v>25</v>
      </c>
      <c r="D27" t="str">
        <f t="shared" si="0"/>
        <v/>
      </c>
    </row>
    <row r="28" spans="1:4">
      <c r="A28" s="42" t="s">
        <v>90</v>
      </c>
      <c r="B28">
        <f>IFERROR(FIND('Simulador IR 2025'!$I$29, A28), 0)</f>
        <v>1</v>
      </c>
      <c r="C28">
        <f>IF(B28&gt;0, MAX($C$2:C27)+1, "")</f>
        <v>26</v>
      </c>
      <c r="D28" t="str">
        <f t="shared" si="0"/>
        <v/>
      </c>
    </row>
    <row r="29" spans="1:4">
      <c r="A29" s="42" t="s">
        <v>91</v>
      </c>
      <c r="B29">
        <f>IFERROR(FIND('Simulador IR 2025'!$I$29, A29), 0)</f>
        <v>1</v>
      </c>
      <c r="C29">
        <f>IF(B29&gt;0, MAX($C$2:C28)+1, "")</f>
        <v>27</v>
      </c>
      <c r="D29" t="str">
        <f t="shared" si="0"/>
        <v/>
      </c>
    </row>
    <row r="30" spans="1:4">
      <c r="A30" s="42" t="s">
        <v>92</v>
      </c>
      <c r="B30">
        <f>IFERROR(FIND('Simulador IR 2025'!$I$29, A30), 0)</f>
        <v>1</v>
      </c>
      <c r="C30">
        <f>IF(B30&gt;0, MAX($C$2:C29)+1, "")</f>
        <v>28</v>
      </c>
      <c r="D30" t="str">
        <f t="shared" si="0"/>
        <v/>
      </c>
    </row>
    <row r="31" spans="1:4">
      <c r="A31" s="42" t="s">
        <v>93</v>
      </c>
      <c r="B31">
        <f>IFERROR(FIND('Simulador IR 2025'!$I$29, A31), 0)</f>
        <v>1</v>
      </c>
      <c r="C31">
        <f>IF(B31&gt;0, MAX($C$2:C30)+1, "")</f>
        <v>29</v>
      </c>
      <c r="D31" t="str">
        <f t="shared" si="0"/>
        <v/>
      </c>
    </row>
    <row r="32" spans="1:4">
      <c r="A32" s="42" t="s">
        <v>94</v>
      </c>
      <c r="B32">
        <f>IFERROR(FIND('Simulador IR 2025'!$I$29, A32), 0)</f>
        <v>1</v>
      </c>
      <c r="C32">
        <f>IF(B32&gt;0, MAX($C$2:C31)+1, "")</f>
        <v>30</v>
      </c>
      <c r="D32" t="str">
        <f t="shared" si="0"/>
        <v/>
      </c>
    </row>
    <row r="33" spans="1:4">
      <c r="A33" s="42" t="s">
        <v>95</v>
      </c>
      <c r="B33">
        <f>IFERROR(FIND('Simulador IR 2025'!$I$29, A33), 0)</f>
        <v>1</v>
      </c>
      <c r="C33">
        <f>IF(B33&gt;0, MAX($C$2:C32)+1, "")</f>
        <v>31</v>
      </c>
      <c r="D33" t="str">
        <f t="shared" si="0"/>
        <v/>
      </c>
    </row>
    <row r="34" spans="1:4">
      <c r="A34" s="42" t="s">
        <v>96</v>
      </c>
      <c r="B34">
        <f>IFERROR(FIND('Simulador IR 2025'!$I$29, A34), 0)</f>
        <v>1</v>
      </c>
      <c r="C34">
        <f>IF(B34&gt;0, MAX($C$2:C33)+1, "")</f>
        <v>32</v>
      </c>
      <c r="D34" t="str">
        <f t="shared" si="0"/>
        <v/>
      </c>
    </row>
    <row r="35" spans="1:4">
      <c r="A35" s="42" t="s">
        <v>97</v>
      </c>
      <c r="B35">
        <f>IFERROR(FIND('Simulador IR 2025'!$I$29, A35), 0)</f>
        <v>1</v>
      </c>
      <c r="C35">
        <f>IF(B35&gt;0, MAX($C$2:C34)+1, "")</f>
        <v>33</v>
      </c>
      <c r="D35" t="str">
        <f t="shared" si="0"/>
        <v/>
      </c>
    </row>
    <row r="36" spans="1:4">
      <c r="A36" s="42" t="s">
        <v>98</v>
      </c>
      <c r="B36">
        <f>IFERROR(FIND('Simulador IR 2025'!$I$29, A36), 0)</f>
        <v>1</v>
      </c>
      <c r="C36">
        <f>IF(B36&gt;0, MAX($C$2:C35)+1, "")</f>
        <v>34</v>
      </c>
      <c r="D36" t="str">
        <f t="shared" si="0"/>
        <v/>
      </c>
    </row>
    <row r="37" spans="1:4">
      <c r="A37" s="42" t="s">
        <v>99</v>
      </c>
      <c r="B37">
        <f>IFERROR(FIND('Simulador IR 2025'!$I$29, A37), 0)</f>
        <v>1</v>
      </c>
      <c r="C37">
        <f>IF(B37&gt;0, MAX($C$2:C36)+1, "")</f>
        <v>35</v>
      </c>
      <c r="D37" t="str">
        <f t="shared" si="0"/>
        <v/>
      </c>
    </row>
    <row r="38" spans="1:4">
      <c r="A38" s="42" t="s">
        <v>100</v>
      </c>
      <c r="B38">
        <f>IFERROR(FIND('Simulador IR 2025'!$I$29, A38), 0)</f>
        <v>1</v>
      </c>
      <c r="C38">
        <f>IF(B38&gt;0, MAX($C$2:C37)+1, "")</f>
        <v>36</v>
      </c>
      <c r="D38" t="str">
        <f t="shared" si="0"/>
        <v/>
      </c>
    </row>
    <row r="39" spans="1:4">
      <c r="A39" s="42" t="s">
        <v>101</v>
      </c>
      <c r="B39">
        <f>IFERROR(FIND('Simulador IR 2025'!$I$29, A39), 0)</f>
        <v>1</v>
      </c>
      <c r="C39">
        <f>IF(B39&gt;0, MAX($C$2:C38)+1, "")</f>
        <v>37</v>
      </c>
      <c r="D39" t="str">
        <f t="shared" si="0"/>
        <v/>
      </c>
    </row>
    <row r="40" spans="1:4">
      <c r="A40" s="42" t="s">
        <v>102</v>
      </c>
      <c r="B40">
        <f>IFERROR(FIND('Simulador IR 2025'!$I$29, A40), 0)</f>
        <v>1</v>
      </c>
      <c r="C40">
        <f>IF(B40&gt;0, MAX($C$2:C39)+1, "")</f>
        <v>38</v>
      </c>
      <c r="D40" t="str">
        <f t="shared" si="0"/>
        <v/>
      </c>
    </row>
    <row r="41" spans="1:4">
      <c r="A41" s="42" t="s">
        <v>103</v>
      </c>
      <c r="B41">
        <f>IFERROR(FIND('Simulador IR 2025'!$I$29, A41), 0)</f>
        <v>1</v>
      </c>
      <c r="C41">
        <f>IF(B41&gt;0, MAX($C$2:C40)+1, "")</f>
        <v>39</v>
      </c>
      <c r="D41" t="str">
        <f t="shared" si="0"/>
        <v/>
      </c>
    </row>
    <row r="42" spans="1:4">
      <c r="A42" s="42" t="s">
        <v>104</v>
      </c>
      <c r="B42">
        <f>IFERROR(FIND('Simulador IR 2025'!$I$29, A42), 0)</f>
        <v>1</v>
      </c>
      <c r="C42">
        <f>IF(B42&gt;0, MAX($C$2:C41)+1, "")</f>
        <v>40</v>
      </c>
      <c r="D42" t="str">
        <f t="shared" si="0"/>
        <v/>
      </c>
    </row>
    <row r="43" spans="1:4">
      <c r="A43" s="42" t="s">
        <v>105</v>
      </c>
      <c r="B43">
        <f>IFERROR(FIND('Simulador IR 2025'!$I$29, A43), 0)</f>
        <v>1</v>
      </c>
      <c r="C43">
        <f>IF(B43&gt;0, MAX($C$2:C42)+1, "")</f>
        <v>41</v>
      </c>
      <c r="D43" t="str">
        <f t="shared" si="0"/>
        <v/>
      </c>
    </row>
    <row r="44" spans="1:4">
      <c r="A44" s="42" t="s">
        <v>106</v>
      </c>
      <c r="B44">
        <f>IFERROR(FIND('Simulador IR 2025'!$I$29, A44), 0)</f>
        <v>1</v>
      </c>
      <c r="C44">
        <f>IF(B44&gt;0, MAX($C$2:C43)+1, "")</f>
        <v>42</v>
      </c>
      <c r="D44" t="str">
        <f t="shared" si="0"/>
        <v/>
      </c>
    </row>
    <row r="45" spans="1:4">
      <c r="A45" s="42" t="s">
        <v>107</v>
      </c>
      <c r="B45">
        <f>IFERROR(FIND('Simulador IR 2025'!$I$29, A45), 0)</f>
        <v>1</v>
      </c>
      <c r="C45">
        <f>IF(B45&gt;0, MAX($C$2:C44)+1, "")</f>
        <v>43</v>
      </c>
      <c r="D45" t="str">
        <f t="shared" si="0"/>
        <v/>
      </c>
    </row>
    <row r="46" spans="1:4">
      <c r="A46" s="42" t="s">
        <v>108</v>
      </c>
      <c r="B46">
        <f>IFERROR(FIND('Simulador IR 2025'!$I$29, A46), 0)</f>
        <v>1</v>
      </c>
      <c r="C46">
        <f>IF(B46&gt;0, MAX($C$2:C45)+1, "")</f>
        <v>44</v>
      </c>
      <c r="D46" t="str">
        <f t="shared" si="0"/>
        <v/>
      </c>
    </row>
    <row r="47" spans="1:4">
      <c r="A47" s="42" t="s">
        <v>109</v>
      </c>
      <c r="B47">
        <f>IFERROR(FIND('Simulador IR 2025'!$I$29, A47), 0)</f>
        <v>1</v>
      </c>
      <c r="C47">
        <f>IF(B47&gt;0, MAX($C$2:C46)+1, "")</f>
        <v>45</v>
      </c>
      <c r="D47" t="str">
        <f t="shared" si="0"/>
        <v/>
      </c>
    </row>
    <row r="48" spans="1:4">
      <c r="A48" s="42" t="s">
        <v>110</v>
      </c>
      <c r="B48">
        <f>IFERROR(FIND('Simulador IR 2025'!$I$29, A48), 0)</f>
        <v>1</v>
      </c>
      <c r="C48">
        <f>IF(B48&gt;0, MAX($C$2:C47)+1, "")</f>
        <v>46</v>
      </c>
      <c r="D48" t="str">
        <f t="shared" si="0"/>
        <v/>
      </c>
    </row>
    <row r="49" spans="1:4">
      <c r="A49" s="42" t="s">
        <v>111</v>
      </c>
      <c r="B49">
        <f>IFERROR(FIND('Simulador IR 2025'!$I$29, A49), 0)</f>
        <v>1</v>
      </c>
      <c r="C49">
        <f>IF(B49&gt;0, MAX($C$2:C48)+1, "")</f>
        <v>47</v>
      </c>
      <c r="D49" t="str">
        <f t="shared" si="0"/>
        <v/>
      </c>
    </row>
    <row r="50" spans="1:4">
      <c r="A50" s="42" t="s">
        <v>112</v>
      </c>
      <c r="B50">
        <f>IFERROR(FIND('Simulador IR 2025'!$I$29, A50), 0)</f>
        <v>1</v>
      </c>
      <c r="C50">
        <f>IF(B50&gt;0, MAX($C$2:C49)+1, "")</f>
        <v>48</v>
      </c>
      <c r="D50" t="str">
        <f t="shared" si="0"/>
        <v/>
      </c>
    </row>
    <row r="51" spans="1:4">
      <c r="A51" s="42" t="s">
        <v>113</v>
      </c>
      <c r="B51">
        <f>IFERROR(FIND('Simulador IR 2025'!$I$29, A51), 0)</f>
        <v>1</v>
      </c>
      <c r="C51">
        <f>IF(B51&gt;0, MAX($C$2:C50)+1, "")</f>
        <v>49</v>
      </c>
      <c r="D51" t="str">
        <f t="shared" si="0"/>
        <v/>
      </c>
    </row>
    <row r="52" spans="1:4">
      <c r="A52" s="42" t="s">
        <v>114</v>
      </c>
      <c r="B52">
        <f>IFERROR(FIND('Simulador IR 2025'!$I$29, A52), 0)</f>
        <v>1</v>
      </c>
      <c r="C52">
        <f>IF(B52&gt;0, MAX($C$2:C51)+1, "")</f>
        <v>50</v>
      </c>
      <c r="D52" t="str">
        <f t="shared" si="0"/>
        <v/>
      </c>
    </row>
    <row r="53" spans="1:4">
      <c r="A53" s="42" t="s">
        <v>115</v>
      </c>
      <c r="B53">
        <f>IFERROR(FIND('Simulador IR 2025'!$I$29, A53), 0)</f>
        <v>1</v>
      </c>
      <c r="C53">
        <f>IF(B53&gt;0, MAX($C$2:C52)+1, "")</f>
        <v>51</v>
      </c>
      <c r="D53" t="str">
        <f t="shared" si="0"/>
        <v/>
      </c>
    </row>
    <row r="54" spans="1:4">
      <c r="A54" s="42" t="s">
        <v>116</v>
      </c>
      <c r="B54">
        <f>IFERROR(FIND('Simulador IR 2025'!$I$29, A54), 0)</f>
        <v>1</v>
      </c>
      <c r="C54">
        <f>IF(B54&gt;0, MAX($C$2:C53)+1, "")</f>
        <v>52</v>
      </c>
      <c r="D54" t="str">
        <f t="shared" si="0"/>
        <v/>
      </c>
    </row>
    <row r="55" spans="1:4">
      <c r="A55" s="42" t="s">
        <v>117</v>
      </c>
      <c r="B55">
        <f>IFERROR(FIND('Simulador IR 2025'!$I$29, A55), 0)</f>
        <v>1</v>
      </c>
      <c r="C55">
        <f>IF(B55&gt;0, MAX($C$2:C54)+1, "")</f>
        <v>53</v>
      </c>
      <c r="D55" t="str">
        <f t="shared" si="0"/>
        <v/>
      </c>
    </row>
    <row r="56" spans="1:4">
      <c r="A56" s="42" t="s">
        <v>118</v>
      </c>
      <c r="B56">
        <f>IFERROR(FIND('Simulador IR 2025'!$I$29, A56), 0)</f>
        <v>1</v>
      </c>
      <c r="C56">
        <f>IF(B56&gt;0, MAX($C$2:C55)+1, "")</f>
        <v>54</v>
      </c>
      <c r="D56" t="str">
        <f t="shared" si="0"/>
        <v/>
      </c>
    </row>
    <row r="57" spans="1:4">
      <c r="A57" s="42" t="s">
        <v>119</v>
      </c>
      <c r="B57">
        <f>IFERROR(FIND('Simulador IR 2025'!$I$29, A57), 0)</f>
        <v>1</v>
      </c>
      <c r="C57">
        <f>IF(B57&gt;0, MAX($C$2:C56)+1, "")</f>
        <v>55</v>
      </c>
      <c r="D57" t="str">
        <f t="shared" si="0"/>
        <v/>
      </c>
    </row>
    <row r="58" spans="1:4">
      <c r="A58" s="42" t="s">
        <v>120</v>
      </c>
      <c r="B58">
        <f>IFERROR(FIND('Simulador IR 2025'!$I$29, A58), 0)</f>
        <v>1</v>
      </c>
      <c r="C58">
        <f>IF(B58&gt;0, MAX($C$2:C57)+1, "")</f>
        <v>56</v>
      </c>
      <c r="D58" t="str">
        <f t="shared" si="0"/>
        <v/>
      </c>
    </row>
    <row r="59" spans="1:4">
      <c r="A59" s="42" t="s">
        <v>121</v>
      </c>
      <c r="B59">
        <f>IFERROR(FIND('Simulador IR 2025'!$I$29, A59), 0)</f>
        <v>1</v>
      </c>
      <c r="C59">
        <f>IF(B59&gt;0, MAX($C$2:C58)+1, "")</f>
        <v>57</v>
      </c>
      <c r="D59" t="str">
        <f t="shared" si="0"/>
        <v/>
      </c>
    </row>
    <row r="60" spans="1:4">
      <c r="A60" s="42" t="s">
        <v>122</v>
      </c>
      <c r="B60">
        <f>IFERROR(FIND('Simulador IR 2025'!$I$29, A60), 0)</f>
        <v>1</v>
      </c>
      <c r="C60">
        <f>IF(B60&gt;0, MAX($C$2:C59)+1, "")</f>
        <v>58</v>
      </c>
      <c r="D60" t="str">
        <f t="shared" si="0"/>
        <v/>
      </c>
    </row>
    <row r="61" spans="1:4">
      <c r="A61" s="42" t="s">
        <v>123</v>
      </c>
      <c r="B61">
        <f>IFERROR(FIND('Simulador IR 2025'!$I$29, A61), 0)</f>
        <v>1</v>
      </c>
      <c r="C61">
        <f>IF(B61&gt;0, MAX($C$2:C60)+1, "")</f>
        <v>59</v>
      </c>
      <c r="D61" t="str">
        <f t="shared" si="0"/>
        <v/>
      </c>
    </row>
    <row r="62" spans="1:4">
      <c r="A62" s="42" t="s">
        <v>124</v>
      </c>
      <c r="B62">
        <f>IFERROR(FIND('Simulador IR 2025'!$I$29, A62), 0)</f>
        <v>1</v>
      </c>
      <c r="C62">
        <f>IF(B62&gt;0, MAX($C$2:C61)+1, "")</f>
        <v>60</v>
      </c>
      <c r="D62" t="str">
        <f t="shared" si="0"/>
        <v/>
      </c>
    </row>
    <row r="63" spans="1:4">
      <c r="A63" s="42" t="s">
        <v>125</v>
      </c>
      <c r="B63">
        <f>IFERROR(FIND('Simulador IR 2025'!$I$29, A63), 0)</f>
        <v>1</v>
      </c>
      <c r="C63">
        <f>IF(B63&gt;0, MAX($C$2:C62)+1, "")</f>
        <v>61</v>
      </c>
      <c r="D63" t="str">
        <f t="shared" si="0"/>
        <v/>
      </c>
    </row>
    <row r="64" spans="1:4">
      <c r="A64" s="42" t="s">
        <v>126</v>
      </c>
      <c r="B64">
        <f>IFERROR(FIND('Simulador IR 2025'!$I$29, A64), 0)</f>
        <v>1</v>
      </c>
      <c r="C64">
        <f>IF(B64&gt;0, MAX($C$2:C63)+1, "")</f>
        <v>62</v>
      </c>
      <c r="D64" t="str">
        <f t="shared" si="0"/>
        <v/>
      </c>
    </row>
    <row r="65" spans="1:4">
      <c r="A65" s="42" t="s">
        <v>127</v>
      </c>
      <c r="B65">
        <f>IFERROR(FIND('Simulador IR 2025'!$I$29, A65), 0)</f>
        <v>1</v>
      </c>
      <c r="C65">
        <f>IF(B65&gt;0, MAX($C$2:C64)+1, "")</f>
        <v>63</v>
      </c>
      <c r="D65" t="str">
        <f t="shared" si="0"/>
        <v/>
      </c>
    </row>
    <row r="66" spans="1:4">
      <c r="A66" s="42" t="s">
        <v>128</v>
      </c>
      <c r="B66">
        <f>IFERROR(FIND('Simulador IR 2025'!$I$29, A66), 0)</f>
        <v>1</v>
      </c>
      <c r="C66">
        <f>IF(B66&gt;0, MAX($C$2:C65)+1, "")</f>
        <v>64</v>
      </c>
      <c r="D66" t="str">
        <f t="shared" si="0"/>
        <v/>
      </c>
    </row>
    <row r="67" spans="1:4">
      <c r="A67" s="42" t="s">
        <v>129</v>
      </c>
      <c r="B67">
        <f>IFERROR(FIND('Simulador IR 2025'!$I$29, A67), 0)</f>
        <v>1</v>
      </c>
      <c r="C67">
        <f>IF(B67&gt;0, MAX($C$2:C66)+1, "")</f>
        <v>65</v>
      </c>
      <c r="D67" t="str">
        <f t="shared" si="0"/>
        <v/>
      </c>
    </row>
    <row r="68" spans="1:4">
      <c r="A68" s="42" t="s">
        <v>130</v>
      </c>
      <c r="B68">
        <f>IFERROR(FIND('Simulador IR 2025'!$I$29, A68), 0)</f>
        <v>1</v>
      </c>
      <c r="C68">
        <f>IF(B68&gt;0, MAX($C$2:C67)+1, "")</f>
        <v>66</v>
      </c>
      <c r="D68" t="str">
        <f t="shared" ref="D68:D131" si="1">IFERROR(VLOOKUP(ROW(A66), $A$3:$C$2681, -2, FALSE), "")</f>
        <v/>
      </c>
    </row>
    <row r="69" spans="1:4">
      <c r="A69" s="42" t="s">
        <v>131</v>
      </c>
      <c r="B69">
        <f>IFERROR(FIND('Simulador IR 2025'!$I$29, A69), 0)</f>
        <v>1</v>
      </c>
      <c r="C69">
        <f>IF(B69&gt;0, MAX($C$2:C68)+1, "")</f>
        <v>67</v>
      </c>
      <c r="D69" t="str">
        <f t="shared" si="1"/>
        <v/>
      </c>
    </row>
    <row r="70" spans="1:4">
      <c r="A70" s="42" t="s">
        <v>132</v>
      </c>
      <c r="B70">
        <f>IFERROR(FIND('Simulador IR 2025'!$I$29, A70), 0)</f>
        <v>1</v>
      </c>
      <c r="C70">
        <f>IF(B70&gt;0, MAX($C$2:C69)+1, "")</f>
        <v>68</v>
      </c>
      <c r="D70" t="str">
        <f t="shared" si="1"/>
        <v/>
      </c>
    </row>
    <row r="71" spans="1:4">
      <c r="A71" s="42" t="s">
        <v>133</v>
      </c>
      <c r="B71">
        <f>IFERROR(FIND('Simulador IR 2025'!$I$29, A71), 0)</f>
        <v>1</v>
      </c>
      <c r="C71">
        <f>IF(B71&gt;0, MAX($C$2:C70)+1, "")</f>
        <v>69</v>
      </c>
      <c r="D71" t="str">
        <f t="shared" si="1"/>
        <v/>
      </c>
    </row>
    <row r="72" spans="1:4">
      <c r="A72" s="42" t="s">
        <v>134</v>
      </c>
      <c r="B72">
        <f>IFERROR(FIND('Simulador IR 2025'!$I$29, A72), 0)</f>
        <v>1</v>
      </c>
      <c r="C72">
        <f>IF(B72&gt;0, MAX($C$2:C71)+1, "")</f>
        <v>70</v>
      </c>
      <c r="D72" t="str">
        <f t="shared" si="1"/>
        <v/>
      </c>
    </row>
    <row r="73" spans="1:4">
      <c r="A73" s="42" t="s">
        <v>135</v>
      </c>
      <c r="B73">
        <f>IFERROR(FIND('Simulador IR 2025'!$I$29, A73), 0)</f>
        <v>1</v>
      </c>
      <c r="C73">
        <f>IF(B73&gt;0, MAX($C$2:C72)+1, "")</f>
        <v>71</v>
      </c>
      <c r="D73" t="str">
        <f t="shared" si="1"/>
        <v/>
      </c>
    </row>
    <row r="74" spans="1:4">
      <c r="A74" s="42" t="s">
        <v>136</v>
      </c>
      <c r="B74">
        <f>IFERROR(FIND('Simulador IR 2025'!$I$29, A74), 0)</f>
        <v>1</v>
      </c>
      <c r="C74">
        <f>IF(B74&gt;0, MAX($C$2:C73)+1, "")</f>
        <v>72</v>
      </c>
      <c r="D74" t="str">
        <f t="shared" si="1"/>
        <v/>
      </c>
    </row>
    <row r="75" spans="1:4">
      <c r="A75" s="42" t="s">
        <v>137</v>
      </c>
      <c r="B75">
        <f>IFERROR(FIND('Simulador IR 2025'!$I$29, A75), 0)</f>
        <v>1</v>
      </c>
      <c r="C75">
        <f>IF(B75&gt;0, MAX($C$2:C74)+1, "")</f>
        <v>73</v>
      </c>
      <c r="D75" t="str">
        <f t="shared" si="1"/>
        <v/>
      </c>
    </row>
    <row r="76" spans="1:4">
      <c r="A76" s="42" t="s">
        <v>138</v>
      </c>
      <c r="B76">
        <f>IFERROR(FIND('Simulador IR 2025'!$I$29, A76), 0)</f>
        <v>1</v>
      </c>
      <c r="C76">
        <f>IF(B76&gt;0, MAX($C$2:C75)+1, "")</f>
        <v>74</v>
      </c>
      <c r="D76" t="str">
        <f t="shared" si="1"/>
        <v/>
      </c>
    </row>
    <row r="77" spans="1:4">
      <c r="A77" s="42" t="s">
        <v>139</v>
      </c>
      <c r="B77">
        <f>IFERROR(FIND('Simulador IR 2025'!$I$29, A77), 0)</f>
        <v>1</v>
      </c>
      <c r="C77">
        <f>IF(B77&gt;0, MAX($C$2:C76)+1, "")</f>
        <v>75</v>
      </c>
      <c r="D77" t="str">
        <f t="shared" si="1"/>
        <v/>
      </c>
    </row>
    <row r="78" spans="1:4">
      <c r="A78" s="42" t="s">
        <v>140</v>
      </c>
      <c r="B78">
        <f>IFERROR(FIND('Simulador IR 2025'!$I$29, A78), 0)</f>
        <v>1</v>
      </c>
      <c r="C78">
        <f>IF(B78&gt;0, MAX($C$2:C77)+1, "")</f>
        <v>76</v>
      </c>
      <c r="D78" t="str">
        <f t="shared" si="1"/>
        <v/>
      </c>
    </row>
    <row r="79" spans="1:4">
      <c r="A79" s="42" t="s">
        <v>141</v>
      </c>
      <c r="B79">
        <f>IFERROR(FIND('Simulador IR 2025'!$I$29, A79), 0)</f>
        <v>1</v>
      </c>
      <c r="C79">
        <f>IF(B79&gt;0, MAX($C$2:C78)+1, "")</f>
        <v>77</v>
      </c>
      <c r="D79" t="str">
        <f t="shared" si="1"/>
        <v/>
      </c>
    </row>
    <row r="80" spans="1:4">
      <c r="A80" s="42" t="s">
        <v>142</v>
      </c>
      <c r="B80">
        <f>IFERROR(FIND('Simulador IR 2025'!$I$29, A80), 0)</f>
        <v>1</v>
      </c>
      <c r="C80">
        <f>IF(B80&gt;0, MAX($C$2:C79)+1, "")</f>
        <v>78</v>
      </c>
      <c r="D80" t="str">
        <f t="shared" si="1"/>
        <v/>
      </c>
    </row>
    <row r="81" spans="1:4">
      <c r="A81" s="42" t="s">
        <v>143</v>
      </c>
      <c r="B81">
        <f>IFERROR(FIND('Simulador IR 2025'!$I$29, A81), 0)</f>
        <v>1</v>
      </c>
      <c r="C81">
        <f>IF(B81&gt;0, MAX($C$2:C80)+1, "")</f>
        <v>79</v>
      </c>
      <c r="D81" t="str">
        <f t="shared" si="1"/>
        <v/>
      </c>
    </row>
    <row r="82" spans="1:4">
      <c r="A82" s="42" t="s">
        <v>144</v>
      </c>
      <c r="B82">
        <f>IFERROR(FIND('Simulador IR 2025'!$I$29, A82), 0)</f>
        <v>1</v>
      </c>
      <c r="C82">
        <f>IF(B82&gt;0, MAX($C$2:C81)+1, "")</f>
        <v>80</v>
      </c>
      <c r="D82" t="str">
        <f t="shared" si="1"/>
        <v/>
      </c>
    </row>
    <row r="83" spans="1:4">
      <c r="A83" s="42" t="s">
        <v>145</v>
      </c>
      <c r="B83">
        <f>IFERROR(FIND('Simulador IR 2025'!$I$29, A83), 0)</f>
        <v>1</v>
      </c>
      <c r="C83">
        <f>IF(B83&gt;0, MAX($C$2:C82)+1, "")</f>
        <v>81</v>
      </c>
      <c r="D83" t="str">
        <f t="shared" si="1"/>
        <v/>
      </c>
    </row>
    <row r="84" spans="1:4">
      <c r="A84" s="42" t="s">
        <v>146</v>
      </c>
      <c r="B84">
        <f>IFERROR(FIND('Simulador IR 2025'!$I$29, A84), 0)</f>
        <v>1</v>
      </c>
      <c r="C84">
        <f>IF(B84&gt;0, MAX($C$2:C83)+1, "")</f>
        <v>82</v>
      </c>
      <c r="D84" t="str">
        <f t="shared" si="1"/>
        <v/>
      </c>
    </row>
    <row r="85" spans="1:4">
      <c r="A85" s="42" t="s">
        <v>147</v>
      </c>
      <c r="B85">
        <f>IFERROR(FIND('Simulador IR 2025'!$I$29, A85), 0)</f>
        <v>1</v>
      </c>
      <c r="C85">
        <f>IF(B85&gt;0, MAX($C$2:C84)+1, "")</f>
        <v>83</v>
      </c>
      <c r="D85" t="str">
        <f t="shared" si="1"/>
        <v/>
      </c>
    </row>
    <row r="86" spans="1:4">
      <c r="A86" s="42" t="s">
        <v>148</v>
      </c>
      <c r="B86">
        <f>IFERROR(FIND('Simulador IR 2025'!$I$29, A86), 0)</f>
        <v>1</v>
      </c>
      <c r="C86">
        <f>IF(B86&gt;0, MAX($C$2:C85)+1, "")</f>
        <v>84</v>
      </c>
      <c r="D86" t="str">
        <f t="shared" si="1"/>
        <v/>
      </c>
    </row>
    <row r="87" spans="1:4">
      <c r="A87" s="42" t="s">
        <v>149</v>
      </c>
      <c r="B87">
        <f>IFERROR(FIND('Simulador IR 2025'!$I$29, A87), 0)</f>
        <v>1</v>
      </c>
      <c r="C87">
        <f>IF(B87&gt;0, MAX($C$2:C86)+1, "")</f>
        <v>85</v>
      </c>
      <c r="D87" t="str">
        <f t="shared" si="1"/>
        <v/>
      </c>
    </row>
    <row r="88" spans="1:4">
      <c r="A88" s="42" t="s">
        <v>150</v>
      </c>
      <c r="B88">
        <f>IFERROR(FIND('Simulador IR 2025'!$I$29, A88), 0)</f>
        <v>1</v>
      </c>
      <c r="C88">
        <f>IF(B88&gt;0, MAX($C$2:C87)+1, "")</f>
        <v>86</v>
      </c>
      <c r="D88" t="str">
        <f t="shared" si="1"/>
        <v/>
      </c>
    </row>
    <row r="89" spans="1:4">
      <c r="A89" s="42" t="s">
        <v>151</v>
      </c>
      <c r="B89">
        <f>IFERROR(FIND('Simulador IR 2025'!$I$29, A89), 0)</f>
        <v>1</v>
      </c>
      <c r="C89">
        <f>IF(B89&gt;0, MAX($C$2:C88)+1, "")</f>
        <v>87</v>
      </c>
      <c r="D89" t="str">
        <f t="shared" si="1"/>
        <v/>
      </c>
    </row>
    <row r="90" spans="1:4">
      <c r="A90" s="42" t="s">
        <v>152</v>
      </c>
      <c r="B90">
        <f>IFERROR(FIND('Simulador IR 2025'!$I$29, A90), 0)</f>
        <v>1</v>
      </c>
      <c r="C90">
        <f>IF(B90&gt;0, MAX($C$2:C89)+1, "")</f>
        <v>88</v>
      </c>
      <c r="D90" t="str">
        <f t="shared" si="1"/>
        <v/>
      </c>
    </row>
    <row r="91" spans="1:4">
      <c r="A91" s="42" t="s">
        <v>153</v>
      </c>
      <c r="B91">
        <f>IFERROR(FIND('Simulador IR 2025'!$I$29, A91), 0)</f>
        <v>1</v>
      </c>
      <c r="C91">
        <f>IF(B91&gt;0, MAX($C$2:C90)+1, "")</f>
        <v>89</v>
      </c>
      <c r="D91" t="str">
        <f t="shared" si="1"/>
        <v/>
      </c>
    </row>
    <row r="92" spans="1:4">
      <c r="A92" s="42" t="s">
        <v>154</v>
      </c>
      <c r="B92">
        <f>IFERROR(FIND('Simulador IR 2025'!$I$29, A92), 0)</f>
        <v>1</v>
      </c>
      <c r="C92">
        <f>IF(B92&gt;0, MAX($C$2:C91)+1, "")</f>
        <v>90</v>
      </c>
      <c r="D92" t="str">
        <f t="shared" si="1"/>
        <v/>
      </c>
    </row>
    <row r="93" spans="1:4">
      <c r="A93" s="42" t="s">
        <v>155</v>
      </c>
      <c r="B93">
        <f>IFERROR(FIND('Simulador IR 2025'!$I$29, A93), 0)</f>
        <v>1</v>
      </c>
      <c r="C93">
        <f>IF(B93&gt;0, MAX($C$2:C92)+1, "")</f>
        <v>91</v>
      </c>
      <c r="D93" t="str">
        <f t="shared" si="1"/>
        <v/>
      </c>
    </row>
    <row r="94" spans="1:4">
      <c r="A94" s="42" t="s">
        <v>156</v>
      </c>
      <c r="B94">
        <f>IFERROR(FIND('Simulador IR 2025'!$I$29, A94), 0)</f>
        <v>1</v>
      </c>
      <c r="C94">
        <f>IF(B94&gt;0, MAX($C$2:C93)+1, "")</f>
        <v>92</v>
      </c>
      <c r="D94" t="str">
        <f t="shared" si="1"/>
        <v/>
      </c>
    </row>
    <row r="95" spans="1:4">
      <c r="A95" s="42" t="s">
        <v>157</v>
      </c>
      <c r="B95">
        <f>IFERROR(FIND('Simulador IR 2025'!$I$29, A95), 0)</f>
        <v>1</v>
      </c>
      <c r="C95">
        <f>IF(B95&gt;0, MAX($C$2:C94)+1, "")</f>
        <v>93</v>
      </c>
      <c r="D95" t="str">
        <f t="shared" si="1"/>
        <v/>
      </c>
    </row>
    <row r="96" spans="1:4">
      <c r="A96" s="42" t="s">
        <v>158</v>
      </c>
      <c r="B96">
        <f>IFERROR(FIND('Simulador IR 2025'!$I$29, A96), 0)</f>
        <v>1</v>
      </c>
      <c r="C96">
        <f>IF(B96&gt;0, MAX($C$2:C95)+1, "")</f>
        <v>94</v>
      </c>
      <c r="D96" t="str">
        <f t="shared" si="1"/>
        <v/>
      </c>
    </row>
    <row r="97" spans="1:4">
      <c r="A97" s="42" t="s">
        <v>159</v>
      </c>
      <c r="B97">
        <f>IFERROR(FIND('Simulador IR 2025'!$I$29, A97), 0)</f>
        <v>1</v>
      </c>
      <c r="C97">
        <f>IF(B97&gt;0, MAX($C$2:C96)+1, "")</f>
        <v>95</v>
      </c>
      <c r="D97" t="str">
        <f t="shared" si="1"/>
        <v/>
      </c>
    </row>
    <row r="98" spans="1:4">
      <c r="A98" s="42" t="s">
        <v>160</v>
      </c>
      <c r="B98">
        <f>IFERROR(FIND('Simulador IR 2025'!$I$29, A98), 0)</f>
        <v>1</v>
      </c>
      <c r="C98">
        <f>IF(B98&gt;0, MAX($C$2:C97)+1, "")</f>
        <v>96</v>
      </c>
      <c r="D98" t="str">
        <f t="shared" si="1"/>
        <v/>
      </c>
    </row>
    <row r="99" spans="1:4">
      <c r="A99" s="42" t="s">
        <v>161</v>
      </c>
      <c r="B99">
        <f>IFERROR(FIND('Simulador IR 2025'!$I$29, A99), 0)</f>
        <v>1</v>
      </c>
      <c r="C99">
        <f>IF(B99&gt;0, MAX($C$2:C98)+1, "")</f>
        <v>97</v>
      </c>
      <c r="D99" t="str">
        <f t="shared" si="1"/>
        <v/>
      </c>
    </row>
    <row r="100" spans="1:4">
      <c r="A100" s="42" t="s">
        <v>162</v>
      </c>
      <c r="B100">
        <f>IFERROR(FIND('Simulador IR 2025'!$I$29, A100), 0)</f>
        <v>1</v>
      </c>
      <c r="C100">
        <f>IF(B100&gt;0, MAX($C$2:C99)+1, "")</f>
        <v>98</v>
      </c>
      <c r="D100" t="str">
        <f t="shared" si="1"/>
        <v/>
      </c>
    </row>
    <row r="101" spans="1:4">
      <c r="A101" s="42" t="s">
        <v>163</v>
      </c>
      <c r="B101">
        <f>IFERROR(FIND('Simulador IR 2025'!$I$29, A101), 0)</f>
        <v>1</v>
      </c>
      <c r="C101">
        <f>IF(B101&gt;0, MAX($C$2:C100)+1, "")</f>
        <v>99</v>
      </c>
      <c r="D101" t="str">
        <f t="shared" si="1"/>
        <v/>
      </c>
    </row>
    <row r="102" spans="1:4">
      <c r="A102" s="42" t="s">
        <v>164</v>
      </c>
      <c r="B102">
        <f>IFERROR(FIND('Simulador IR 2025'!$I$29, A102), 0)</f>
        <v>1</v>
      </c>
      <c r="C102">
        <f>IF(B102&gt;0, MAX($C$2:C101)+1, "")</f>
        <v>100</v>
      </c>
      <c r="D102" t="str">
        <f t="shared" si="1"/>
        <v/>
      </c>
    </row>
    <row r="103" spans="1:4">
      <c r="A103" s="42" t="s">
        <v>165</v>
      </c>
      <c r="B103">
        <f>IFERROR(FIND('Simulador IR 2025'!$I$29, A103), 0)</f>
        <v>1</v>
      </c>
      <c r="C103">
        <f>IF(B103&gt;0, MAX($C$2:C102)+1, "")</f>
        <v>101</v>
      </c>
      <c r="D103" t="str">
        <f t="shared" si="1"/>
        <v/>
      </c>
    </row>
    <row r="104" spans="1:4">
      <c r="A104" s="42" t="s">
        <v>166</v>
      </c>
      <c r="B104">
        <f>IFERROR(FIND('Simulador IR 2025'!$I$29, A104), 0)</f>
        <v>1</v>
      </c>
      <c r="C104">
        <f>IF(B104&gt;0, MAX($C$2:C103)+1, "")</f>
        <v>102</v>
      </c>
      <c r="D104" t="str">
        <f t="shared" si="1"/>
        <v/>
      </c>
    </row>
    <row r="105" spans="1:4">
      <c r="A105" s="42" t="s">
        <v>167</v>
      </c>
      <c r="B105">
        <f>IFERROR(FIND('Simulador IR 2025'!$I$29, A105), 0)</f>
        <v>1</v>
      </c>
      <c r="C105">
        <f>IF(B105&gt;0, MAX($C$2:C104)+1, "")</f>
        <v>103</v>
      </c>
      <c r="D105" t="str">
        <f t="shared" si="1"/>
        <v/>
      </c>
    </row>
    <row r="106" spans="1:4">
      <c r="A106" s="42" t="s">
        <v>168</v>
      </c>
      <c r="B106">
        <f>IFERROR(FIND('Simulador IR 2025'!$I$29, A106), 0)</f>
        <v>1</v>
      </c>
      <c r="C106">
        <f>IF(B106&gt;0, MAX($C$2:C105)+1, "")</f>
        <v>104</v>
      </c>
      <c r="D106" t="str">
        <f t="shared" si="1"/>
        <v/>
      </c>
    </row>
    <row r="107" spans="1:4">
      <c r="A107" s="42" t="s">
        <v>169</v>
      </c>
      <c r="B107">
        <f>IFERROR(FIND('Simulador IR 2025'!$I$29, A107), 0)</f>
        <v>1</v>
      </c>
      <c r="C107">
        <f>IF(B107&gt;0, MAX($C$2:C106)+1, "")</f>
        <v>105</v>
      </c>
      <c r="D107" t="str">
        <f t="shared" si="1"/>
        <v/>
      </c>
    </row>
    <row r="108" spans="1:4">
      <c r="A108" s="42" t="s">
        <v>170</v>
      </c>
      <c r="B108">
        <f>IFERROR(FIND('Simulador IR 2025'!$I$29, A108), 0)</f>
        <v>1</v>
      </c>
      <c r="C108">
        <f>IF(B108&gt;0, MAX($C$2:C107)+1, "")</f>
        <v>106</v>
      </c>
      <c r="D108" t="str">
        <f t="shared" si="1"/>
        <v/>
      </c>
    </row>
    <row r="109" spans="1:4">
      <c r="A109" s="42" t="s">
        <v>171</v>
      </c>
      <c r="B109">
        <f>IFERROR(FIND('Simulador IR 2025'!$I$29, A109), 0)</f>
        <v>1</v>
      </c>
      <c r="C109">
        <f>IF(B109&gt;0, MAX($C$2:C108)+1, "")</f>
        <v>107</v>
      </c>
      <c r="D109" t="str">
        <f t="shared" si="1"/>
        <v/>
      </c>
    </row>
    <row r="110" spans="1:4">
      <c r="A110" s="42" t="s">
        <v>172</v>
      </c>
      <c r="B110">
        <f>IFERROR(FIND('Simulador IR 2025'!$I$29, A110), 0)</f>
        <v>1</v>
      </c>
      <c r="C110">
        <f>IF(B110&gt;0, MAX($C$2:C109)+1, "")</f>
        <v>108</v>
      </c>
      <c r="D110" t="str">
        <f t="shared" si="1"/>
        <v/>
      </c>
    </row>
    <row r="111" spans="1:4">
      <c r="A111" s="42" t="s">
        <v>173</v>
      </c>
      <c r="B111">
        <f>IFERROR(FIND('Simulador IR 2025'!$I$29, A111), 0)</f>
        <v>1</v>
      </c>
      <c r="C111">
        <f>IF(B111&gt;0, MAX($C$2:C110)+1, "")</f>
        <v>109</v>
      </c>
      <c r="D111" t="str">
        <f t="shared" si="1"/>
        <v/>
      </c>
    </row>
    <row r="112" spans="1:4">
      <c r="A112" s="42" t="s">
        <v>174</v>
      </c>
      <c r="B112">
        <f>IFERROR(FIND('Simulador IR 2025'!$I$29, A112), 0)</f>
        <v>1</v>
      </c>
      <c r="C112">
        <f>IF(B112&gt;0, MAX($C$2:C111)+1, "")</f>
        <v>110</v>
      </c>
      <c r="D112" t="str">
        <f t="shared" si="1"/>
        <v/>
      </c>
    </row>
    <row r="113" spans="1:4">
      <c r="A113" s="42" t="s">
        <v>175</v>
      </c>
      <c r="B113">
        <f>IFERROR(FIND('Simulador IR 2025'!$I$29, A113), 0)</f>
        <v>1</v>
      </c>
      <c r="C113">
        <f>IF(B113&gt;0, MAX($C$2:C112)+1, "")</f>
        <v>111</v>
      </c>
      <c r="D113" t="str">
        <f t="shared" si="1"/>
        <v/>
      </c>
    </row>
    <row r="114" spans="1:4">
      <c r="A114" s="42" t="s">
        <v>176</v>
      </c>
      <c r="B114">
        <f>IFERROR(FIND('Simulador IR 2025'!$I$29, A114), 0)</f>
        <v>1</v>
      </c>
      <c r="C114">
        <f>IF(B114&gt;0, MAX($C$2:C113)+1, "")</f>
        <v>112</v>
      </c>
      <c r="D114" t="str">
        <f t="shared" si="1"/>
        <v/>
      </c>
    </row>
    <row r="115" spans="1:4">
      <c r="A115" s="42" t="s">
        <v>177</v>
      </c>
      <c r="B115">
        <f>IFERROR(FIND('Simulador IR 2025'!$I$29, A115), 0)</f>
        <v>1</v>
      </c>
      <c r="C115">
        <f>IF(B115&gt;0, MAX($C$2:C114)+1, "")</f>
        <v>113</v>
      </c>
      <c r="D115" t="str">
        <f t="shared" si="1"/>
        <v/>
      </c>
    </row>
    <row r="116" spans="1:4">
      <c r="A116" s="42" t="s">
        <v>178</v>
      </c>
      <c r="B116">
        <f>IFERROR(FIND('Simulador IR 2025'!$I$29, A116), 0)</f>
        <v>1</v>
      </c>
      <c r="C116">
        <f>IF(B116&gt;0, MAX($C$2:C115)+1, "")</f>
        <v>114</v>
      </c>
      <c r="D116" t="str">
        <f t="shared" si="1"/>
        <v/>
      </c>
    </row>
    <row r="117" spans="1:4">
      <c r="A117" s="42" t="s">
        <v>179</v>
      </c>
      <c r="B117">
        <f>IFERROR(FIND('Simulador IR 2025'!$I$29, A117), 0)</f>
        <v>1</v>
      </c>
      <c r="C117">
        <f>IF(B117&gt;0, MAX($C$2:C116)+1, "")</f>
        <v>115</v>
      </c>
      <c r="D117" t="str">
        <f t="shared" si="1"/>
        <v/>
      </c>
    </row>
    <row r="118" spans="1:4">
      <c r="A118" s="42" t="s">
        <v>180</v>
      </c>
      <c r="B118">
        <f>IFERROR(FIND('Simulador IR 2025'!$I$29, A118), 0)</f>
        <v>1</v>
      </c>
      <c r="C118">
        <f>IF(B118&gt;0, MAX($C$2:C117)+1, "")</f>
        <v>116</v>
      </c>
      <c r="D118" t="str">
        <f t="shared" si="1"/>
        <v/>
      </c>
    </row>
    <row r="119" spans="1:4">
      <c r="A119" s="42" t="s">
        <v>181</v>
      </c>
      <c r="B119">
        <f>IFERROR(FIND('Simulador IR 2025'!$I$29, A119), 0)</f>
        <v>1</v>
      </c>
      <c r="C119">
        <f>IF(B119&gt;0, MAX($C$2:C118)+1, "")</f>
        <v>117</v>
      </c>
      <c r="D119" t="str">
        <f t="shared" si="1"/>
        <v/>
      </c>
    </row>
    <row r="120" spans="1:4">
      <c r="A120" s="42" t="s">
        <v>182</v>
      </c>
      <c r="B120">
        <f>IFERROR(FIND('Simulador IR 2025'!$I$29, A120), 0)</f>
        <v>1</v>
      </c>
      <c r="C120">
        <f>IF(B120&gt;0, MAX($C$2:C119)+1, "")</f>
        <v>118</v>
      </c>
      <c r="D120" t="str">
        <f t="shared" si="1"/>
        <v/>
      </c>
    </row>
    <row r="121" spans="1:4">
      <c r="A121" s="42" t="s">
        <v>183</v>
      </c>
      <c r="B121">
        <f>IFERROR(FIND('Simulador IR 2025'!$I$29, A121), 0)</f>
        <v>1</v>
      </c>
      <c r="C121">
        <f>IF(B121&gt;0, MAX($C$2:C120)+1, "")</f>
        <v>119</v>
      </c>
      <c r="D121" t="str">
        <f t="shared" si="1"/>
        <v/>
      </c>
    </row>
    <row r="122" spans="1:4">
      <c r="A122" s="42" t="s">
        <v>184</v>
      </c>
      <c r="B122">
        <f>IFERROR(FIND('Simulador IR 2025'!$I$29, A122), 0)</f>
        <v>1</v>
      </c>
      <c r="C122">
        <f>IF(B122&gt;0, MAX($C$2:C121)+1, "")</f>
        <v>120</v>
      </c>
      <c r="D122" t="str">
        <f t="shared" si="1"/>
        <v/>
      </c>
    </row>
    <row r="123" spans="1:4">
      <c r="A123" s="42" t="s">
        <v>185</v>
      </c>
      <c r="B123">
        <f>IFERROR(FIND('Simulador IR 2025'!$I$29, A123), 0)</f>
        <v>1</v>
      </c>
      <c r="C123">
        <f>IF(B123&gt;0, MAX($C$2:C122)+1, "")</f>
        <v>121</v>
      </c>
      <c r="D123" t="str">
        <f t="shared" si="1"/>
        <v/>
      </c>
    </row>
    <row r="124" spans="1:4">
      <c r="A124" s="42" t="s">
        <v>186</v>
      </c>
      <c r="B124">
        <f>IFERROR(FIND('Simulador IR 2025'!$I$29, A124), 0)</f>
        <v>1</v>
      </c>
      <c r="C124">
        <f>IF(B124&gt;0, MAX($C$2:C123)+1, "")</f>
        <v>122</v>
      </c>
      <c r="D124" t="str">
        <f t="shared" si="1"/>
        <v/>
      </c>
    </row>
    <row r="125" spans="1:4">
      <c r="A125" s="42" t="s">
        <v>187</v>
      </c>
      <c r="B125">
        <f>IFERROR(FIND('Simulador IR 2025'!$I$29, A125), 0)</f>
        <v>1</v>
      </c>
      <c r="C125">
        <f>IF(B125&gt;0, MAX($C$2:C124)+1, "")</f>
        <v>123</v>
      </c>
      <c r="D125" t="str">
        <f t="shared" si="1"/>
        <v/>
      </c>
    </row>
    <row r="126" spans="1:4">
      <c r="A126" s="42" t="s">
        <v>188</v>
      </c>
      <c r="B126">
        <f>IFERROR(FIND('Simulador IR 2025'!$I$29, A126), 0)</f>
        <v>1</v>
      </c>
      <c r="C126">
        <f>IF(B126&gt;0, MAX($C$2:C125)+1, "")</f>
        <v>124</v>
      </c>
      <c r="D126" t="str">
        <f t="shared" si="1"/>
        <v/>
      </c>
    </row>
    <row r="127" spans="1:4">
      <c r="A127" s="42" t="s">
        <v>189</v>
      </c>
      <c r="B127">
        <f>IFERROR(FIND('Simulador IR 2025'!$I$29, A127), 0)</f>
        <v>1</v>
      </c>
      <c r="C127">
        <f>IF(B127&gt;0, MAX($C$2:C126)+1, "")</f>
        <v>125</v>
      </c>
      <c r="D127" t="str">
        <f t="shared" si="1"/>
        <v/>
      </c>
    </row>
    <row r="128" spans="1:4">
      <c r="A128" s="42" t="s">
        <v>190</v>
      </c>
      <c r="B128">
        <f>IFERROR(FIND('Simulador IR 2025'!$I$29, A128), 0)</f>
        <v>1</v>
      </c>
      <c r="C128">
        <f>IF(B128&gt;0, MAX($C$2:C127)+1, "")</f>
        <v>126</v>
      </c>
      <c r="D128" t="str">
        <f t="shared" si="1"/>
        <v/>
      </c>
    </row>
    <row r="129" spans="1:4">
      <c r="A129" s="42" t="s">
        <v>191</v>
      </c>
      <c r="B129">
        <f>IFERROR(FIND('Simulador IR 2025'!$I$29, A129), 0)</f>
        <v>1</v>
      </c>
      <c r="C129">
        <f>IF(B129&gt;0, MAX($C$2:C128)+1, "")</f>
        <v>127</v>
      </c>
      <c r="D129" t="str">
        <f t="shared" si="1"/>
        <v/>
      </c>
    </row>
    <row r="130" spans="1:4">
      <c r="A130" s="42" t="s">
        <v>192</v>
      </c>
      <c r="B130">
        <f>IFERROR(FIND('Simulador IR 2025'!$I$29, A130), 0)</f>
        <v>1</v>
      </c>
      <c r="C130">
        <f>IF(B130&gt;0, MAX($C$2:C129)+1, "")</f>
        <v>128</v>
      </c>
      <c r="D130" t="str">
        <f t="shared" si="1"/>
        <v/>
      </c>
    </row>
    <row r="131" spans="1:4">
      <c r="A131" s="42" t="s">
        <v>193</v>
      </c>
      <c r="B131">
        <f>IFERROR(FIND('Simulador IR 2025'!$I$29, A131), 0)</f>
        <v>1</v>
      </c>
      <c r="C131">
        <f>IF(B131&gt;0, MAX($C$2:C130)+1, "")</f>
        <v>129</v>
      </c>
      <c r="D131" t="str">
        <f t="shared" si="1"/>
        <v/>
      </c>
    </row>
    <row r="132" spans="1:4">
      <c r="A132" s="42" t="s">
        <v>194</v>
      </c>
      <c r="B132">
        <f>IFERROR(FIND('Simulador IR 2025'!$I$29, A132), 0)</f>
        <v>1</v>
      </c>
      <c r="C132">
        <f>IF(B132&gt;0, MAX($C$2:C131)+1, "")</f>
        <v>130</v>
      </c>
      <c r="D132" t="str">
        <f t="shared" ref="D132:D195" si="2">IFERROR(VLOOKUP(ROW(A130), $A$3:$C$2681, -2, FALSE), "")</f>
        <v/>
      </c>
    </row>
    <row r="133" spans="1:4">
      <c r="A133" s="42" t="s">
        <v>195</v>
      </c>
      <c r="B133">
        <f>IFERROR(FIND('Simulador IR 2025'!$I$29, A133), 0)</f>
        <v>1</v>
      </c>
      <c r="C133">
        <f>IF(B133&gt;0, MAX($C$2:C132)+1, "")</f>
        <v>131</v>
      </c>
      <c r="D133" t="str">
        <f t="shared" si="2"/>
        <v/>
      </c>
    </row>
    <row r="134" spans="1:4">
      <c r="A134" s="42" t="s">
        <v>196</v>
      </c>
      <c r="B134">
        <f>IFERROR(FIND('Simulador IR 2025'!$I$29, A134), 0)</f>
        <v>1</v>
      </c>
      <c r="C134">
        <f>IF(B134&gt;0, MAX($C$2:C133)+1, "")</f>
        <v>132</v>
      </c>
      <c r="D134" t="str">
        <f t="shared" si="2"/>
        <v/>
      </c>
    </row>
    <row r="135" spans="1:4">
      <c r="A135" s="42" t="s">
        <v>197</v>
      </c>
      <c r="B135">
        <f>IFERROR(FIND('Simulador IR 2025'!$I$29, A135), 0)</f>
        <v>1</v>
      </c>
      <c r="C135">
        <f>IF(B135&gt;0, MAX($C$2:C134)+1, "")</f>
        <v>133</v>
      </c>
      <c r="D135" t="str">
        <f t="shared" si="2"/>
        <v/>
      </c>
    </row>
    <row r="136" spans="1:4">
      <c r="A136" s="42" t="s">
        <v>198</v>
      </c>
      <c r="B136">
        <f>IFERROR(FIND('Simulador IR 2025'!$I$29, A136), 0)</f>
        <v>1</v>
      </c>
      <c r="C136">
        <f>IF(B136&gt;0, MAX($C$2:C135)+1, "")</f>
        <v>134</v>
      </c>
      <c r="D136" t="str">
        <f t="shared" si="2"/>
        <v/>
      </c>
    </row>
    <row r="137" spans="1:4">
      <c r="A137" s="42" t="s">
        <v>199</v>
      </c>
      <c r="B137">
        <f>IFERROR(FIND('Simulador IR 2025'!$I$29, A137), 0)</f>
        <v>1</v>
      </c>
      <c r="C137">
        <f>IF(B137&gt;0, MAX($C$2:C136)+1, "")</f>
        <v>135</v>
      </c>
      <c r="D137" t="str">
        <f t="shared" si="2"/>
        <v/>
      </c>
    </row>
    <row r="138" spans="1:4">
      <c r="A138" s="42" t="s">
        <v>200</v>
      </c>
      <c r="B138">
        <f>IFERROR(FIND('Simulador IR 2025'!$I$29, A138), 0)</f>
        <v>1</v>
      </c>
      <c r="C138">
        <f>IF(B138&gt;0, MAX($C$2:C137)+1, "")</f>
        <v>136</v>
      </c>
      <c r="D138" t="str">
        <f t="shared" si="2"/>
        <v/>
      </c>
    </row>
    <row r="139" spans="1:4">
      <c r="A139" s="42" t="s">
        <v>201</v>
      </c>
      <c r="B139">
        <f>IFERROR(FIND('Simulador IR 2025'!$I$29, A139), 0)</f>
        <v>1</v>
      </c>
      <c r="C139">
        <f>IF(B139&gt;0, MAX($C$2:C138)+1, "")</f>
        <v>137</v>
      </c>
      <c r="D139" t="str">
        <f t="shared" si="2"/>
        <v/>
      </c>
    </row>
    <row r="140" spans="1:4">
      <c r="A140" s="42" t="s">
        <v>202</v>
      </c>
      <c r="B140">
        <f>IFERROR(FIND('Simulador IR 2025'!$I$29, A140), 0)</f>
        <v>1</v>
      </c>
      <c r="C140">
        <f>IF(B140&gt;0, MAX($C$2:C139)+1, "")</f>
        <v>138</v>
      </c>
      <c r="D140" t="str">
        <f t="shared" si="2"/>
        <v/>
      </c>
    </row>
    <row r="141" spans="1:4">
      <c r="A141" s="42" t="s">
        <v>203</v>
      </c>
      <c r="B141">
        <f>IFERROR(FIND('Simulador IR 2025'!$I$29, A141), 0)</f>
        <v>1</v>
      </c>
      <c r="C141">
        <f>IF(B141&gt;0, MAX($C$2:C140)+1, "")</f>
        <v>139</v>
      </c>
      <c r="D141" t="str">
        <f t="shared" si="2"/>
        <v/>
      </c>
    </row>
    <row r="142" spans="1:4">
      <c r="A142" s="42" t="s">
        <v>204</v>
      </c>
      <c r="B142">
        <f>IFERROR(FIND('Simulador IR 2025'!$I$29, A142), 0)</f>
        <v>1</v>
      </c>
      <c r="C142">
        <f>IF(B142&gt;0, MAX($C$2:C141)+1, "")</f>
        <v>140</v>
      </c>
      <c r="D142" t="str">
        <f t="shared" si="2"/>
        <v/>
      </c>
    </row>
    <row r="143" spans="1:4">
      <c r="A143" s="42" t="s">
        <v>205</v>
      </c>
      <c r="B143">
        <f>IFERROR(FIND('Simulador IR 2025'!$I$29, A143), 0)</f>
        <v>1</v>
      </c>
      <c r="C143">
        <f>IF(B143&gt;0, MAX($C$2:C142)+1, "")</f>
        <v>141</v>
      </c>
      <c r="D143" t="str">
        <f t="shared" si="2"/>
        <v/>
      </c>
    </row>
    <row r="144" spans="1:4">
      <c r="A144" s="42" t="s">
        <v>206</v>
      </c>
      <c r="B144">
        <f>IFERROR(FIND('Simulador IR 2025'!$I$29, A144), 0)</f>
        <v>1</v>
      </c>
      <c r="C144">
        <f>IF(B144&gt;0, MAX($C$2:C143)+1, "")</f>
        <v>142</v>
      </c>
      <c r="D144" t="str">
        <f t="shared" si="2"/>
        <v/>
      </c>
    </row>
    <row r="145" spans="1:4">
      <c r="A145" s="42" t="s">
        <v>207</v>
      </c>
      <c r="B145">
        <f>IFERROR(FIND('Simulador IR 2025'!$I$29, A145), 0)</f>
        <v>1</v>
      </c>
      <c r="C145">
        <f>IF(B145&gt;0, MAX($C$2:C144)+1, "")</f>
        <v>143</v>
      </c>
      <c r="D145" t="str">
        <f t="shared" si="2"/>
        <v/>
      </c>
    </row>
    <row r="146" spans="1:4">
      <c r="A146" s="42" t="s">
        <v>208</v>
      </c>
      <c r="B146">
        <f>IFERROR(FIND('Simulador IR 2025'!$I$29, A146), 0)</f>
        <v>1</v>
      </c>
      <c r="C146">
        <f>IF(B146&gt;0, MAX($C$2:C145)+1, "")</f>
        <v>144</v>
      </c>
      <c r="D146" t="str">
        <f t="shared" si="2"/>
        <v/>
      </c>
    </row>
    <row r="147" spans="1:4">
      <c r="A147" s="42" t="s">
        <v>209</v>
      </c>
      <c r="B147">
        <f>IFERROR(FIND('Simulador IR 2025'!$I$29, A147), 0)</f>
        <v>1</v>
      </c>
      <c r="C147">
        <f>IF(B147&gt;0, MAX($C$2:C146)+1, "")</f>
        <v>145</v>
      </c>
      <c r="D147" t="str">
        <f t="shared" si="2"/>
        <v/>
      </c>
    </row>
    <row r="148" spans="1:4">
      <c r="A148" s="42" t="s">
        <v>210</v>
      </c>
      <c r="B148">
        <f>IFERROR(FIND('Simulador IR 2025'!$I$29, A148), 0)</f>
        <v>1</v>
      </c>
      <c r="C148">
        <f>IF(B148&gt;0, MAX($C$2:C147)+1, "")</f>
        <v>146</v>
      </c>
      <c r="D148" t="str">
        <f t="shared" si="2"/>
        <v/>
      </c>
    </row>
    <row r="149" spans="1:4">
      <c r="A149" s="42" t="s">
        <v>211</v>
      </c>
      <c r="B149">
        <f>IFERROR(FIND('Simulador IR 2025'!$I$29, A149), 0)</f>
        <v>1</v>
      </c>
      <c r="C149">
        <f>IF(B149&gt;0, MAX($C$2:C148)+1, "")</f>
        <v>147</v>
      </c>
      <c r="D149" t="str">
        <f t="shared" si="2"/>
        <v/>
      </c>
    </row>
    <row r="150" spans="1:4">
      <c r="A150" s="42" t="s">
        <v>212</v>
      </c>
      <c r="B150">
        <f>IFERROR(FIND('Simulador IR 2025'!$I$29, A150), 0)</f>
        <v>1</v>
      </c>
      <c r="C150">
        <f>IF(B150&gt;0, MAX($C$2:C149)+1, "")</f>
        <v>148</v>
      </c>
      <c r="D150" t="str">
        <f t="shared" si="2"/>
        <v/>
      </c>
    </row>
    <row r="151" spans="1:4">
      <c r="A151" s="42" t="s">
        <v>213</v>
      </c>
      <c r="B151">
        <f>IFERROR(FIND('Simulador IR 2025'!$I$29, A151), 0)</f>
        <v>1</v>
      </c>
      <c r="C151">
        <f>IF(B151&gt;0, MAX($C$2:C150)+1, "")</f>
        <v>149</v>
      </c>
      <c r="D151" t="str">
        <f t="shared" si="2"/>
        <v/>
      </c>
    </row>
    <row r="152" spans="1:4">
      <c r="A152" s="42" t="s">
        <v>214</v>
      </c>
      <c r="B152">
        <f>IFERROR(FIND('Simulador IR 2025'!$I$29, A152), 0)</f>
        <v>1</v>
      </c>
      <c r="C152">
        <f>IF(B152&gt;0, MAX($C$2:C151)+1, "")</f>
        <v>150</v>
      </c>
      <c r="D152" t="str">
        <f t="shared" si="2"/>
        <v/>
      </c>
    </row>
    <row r="153" spans="1:4">
      <c r="A153" s="42" t="s">
        <v>215</v>
      </c>
      <c r="B153">
        <f>IFERROR(FIND('Simulador IR 2025'!$I$29, A153), 0)</f>
        <v>1</v>
      </c>
      <c r="C153">
        <f>IF(B153&gt;0, MAX($C$2:C152)+1, "")</f>
        <v>151</v>
      </c>
      <c r="D153" t="str">
        <f t="shared" si="2"/>
        <v/>
      </c>
    </row>
    <row r="154" spans="1:4">
      <c r="A154" s="42" t="s">
        <v>216</v>
      </c>
      <c r="B154">
        <f>IFERROR(FIND('Simulador IR 2025'!$I$29, A154), 0)</f>
        <v>1</v>
      </c>
      <c r="C154">
        <f>IF(B154&gt;0, MAX($C$2:C153)+1, "")</f>
        <v>152</v>
      </c>
      <c r="D154" t="str">
        <f t="shared" si="2"/>
        <v/>
      </c>
    </row>
    <row r="155" spans="1:4">
      <c r="A155" s="42" t="s">
        <v>217</v>
      </c>
      <c r="B155">
        <f>IFERROR(FIND('Simulador IR 2025'!$I$29, A155), 0)</f>
        <v>1</v>
      </c>
      <c r="C155">
        <f>IF(B155&gt;0, MAX($C$2:C154)+1, "")</f>
        <v>153</v>
      </c>
      <c r="D155" t="str">
        <f t="shared" si="2"/>
        <v/>
      </c>
    </row>
    <row r="156" spans="1:4">
      <c r="A156" s="42" t="s">
        <v>218</v>
      </c>
      <c r="B156">
        <f>IFERROR(FIND('Simulador IR 2025'!$I$29, A156), 0)</f>
        <v>1</v>
      </c>
      <c r="C156">
        <f>IF(B156&gt;0, MAX($C$2:C155)+1, "")</f>
        <v>154</v>
      </c>
      <c r="D156" t="str">
        <f t="shared" si="2"/>
        <v/>
      </c>
    </row>
    <row r="157" spans="1:4">
      <c r="A157" s="42" t="s">
        <v>219</v>
      </c>
      <c r="B157">
        <f>IFERROR(FIND('Simulador IR 2025'!$I$29, A157), 0)</f>
        <v>1</v>
      </c>
      <c r="C157">
        <f>IF(B157&gt;0, MAX($C$2:C156)+1, "")</f>
        <v>155</v>
      </c>
      <c r="D157" t="str">
        <f t="shared" si="2"/>
        <v/>
      </c>
    </row>
    <row r="158" spans="1:4">
      <c r="A158" s="42" t="s">
        <v>220</v>
      </c>
      <c r="B158">
        <f>IFERROR(FIND('Simulador IR 2025'!$I$29, A158), 0)</f>
        <v>1</v>
      </c>
      <c r="C158">
        <f>IF(B158&gt;0, MAX($C$2:C157)+1, "")</f>
        <v>156</v>
      </c>
      <c r="D158" t="str">
        <f t="shared" si="2"/>
        <v/>
      </c>
    </row>
    <row r="159" spans="1:4">
      <c r="A159" s="42" t="s">
        <v>221</v>
      </c>
      <c r="B159">
        <f>IFERROR(FIND('Simulador IR 2025'!$I$29, A159), 0)</f>
        <v>1</v>
      </c>
      <c r="C159">
        <f>IF(B159&gt;0, MAX($C$2:C158)+1, "")</f>
        <v>157</v>
      </c>
      <c r="D159" t="str">
        <f t="shared" si="2"/>
        <v/>
      </c>
    </row>
    <row r="160" spans="1:4">
      <c r="A160" s="42" t="s">
        <v>222</v>
      </c>
      <c r="B160">
        <f>IFERROR(FIND('Simulador IR 2025'!$I$29, A160), 0)</f>
        <v>1</v>
      </c>
      <c r="C160">
        <f>IF(B160&gt;0, MAX($C$2:C159)+1, "")</f>
        <v>158</v>
      </c>
      <c r="D160" t="str">
        <f t="shared" si="2"/>
        <v/>
      </c>
    </row>
    <row r="161" spans="1:4">
      <c r="A161" s="42" t="s">
        <v>223</v>
      </c>
      <c r="B161">
        <f>IFERROR(FIND('Simulador IR 2025'!$I$29, A161), 0)</f>
        <v>1</v>
      </c>
      <c r="C161">
        <f>IF(B161&gt;0, MAX($C$2:C160)+1, "")</f>
        <v>159</v>
      </c>
      <c r="D161" t="str">
        <f t="shared" si="2"/>
        <v/>
      </c>
    </row>
    <row r="162" spans="1:4">
      <c r="A162" s="42" t="s">
        <v>224</v>
      </c>
      <c r="B162">
        <f>IFERROR(FIND('Simulador IR 2025'!$I$29, A162), 0)</f>
        <v>1</v>
      </c>
      <c r="C162">
        <f>IF(B162&gt;0, MAX($C$2:C161)+1, "")</f>
        <v>160</v>
      </c>
      <c r="D162" t="str">
        <f t="shared" si="2"/>
        <v/>
      </c>
    </row>
    <row r="163" spans="1:4">
      <c r="A163" s="42" t="s">
        <v>225</v>
      </c>
      <c r="B163">
        <f>IFERROR(FIND('Simulador IR 2025'!$I$29, A163), 0)</f>
        <v>1</v>
      </c>
      <c r="C163">
        <f>IF(B163&gt;0, MAX($C$2:C162)+1, "")</f>
        <v>161</v>
      </c>
      <c r="D163" t="str">
        <f t="shared" si="2"/>
        <v/>
      </c>
    </row>
    <row r="164" spans="1:4">
      <c r="A164" s="42" t="s">
        <v>226</v>
      </c>
      <c r="B164">
        <f>IFERROR(FIND('Simulador IR 2025'!$I$29, A164), 0)</f>
        <v>1</v>
      </c>
      <c r="C164">
        <f>IF(B164&gt;0, MAX($C$2:C163)+1, "")</f>
        <v>162</v>
      </c>
      <c r="D164" t="str">
        <f t="shared" si="2"/>
        <v/>
      </c>
    </row>
    <row r="165" spans="1:4">
      <c r="A165" s="42" t="s">
        <v>227</v>
      </c>
      <c r="B165">
        <f>IFERROR(FIND('Simulador IR 2025'!$I$29, A165), 0)</f>
        <v>1</v>
      </c>
      <c r="C165">
        <f>IF(B165&gt;0, MAX($C$2:C164)+1, "")</f>
        <v>163</v>
      </c>
      <c r="D165" t="str">
        <f t="shared" si="2"/>
        <v/>
      </c>
    </row>
    <row r="166" spans="1:4">
      <c r="A166" s="42" t="s">
        <v>228</v>
      </c>
      <c r="B166">
        <f>IFERROR(FIND('Simulador IR 2025'!$I$29, A166), 0)</f>
        <v>1</v>
      </c>
      <c r="C166">
        <f>IF(B166&gt;0, MAX($C$2:C165)+1, "")</f>
        <v>164</v>
      </c>
      <c r="D166" t="str">
        <f t="shared" si="2"/>
        <v/>
      </c>
    </row>
    <row r="167" spans="1:4">
      <c r="A167" s="42" t="s">
        <v>229</v>
      </c>
      <c r="B167">
        <f>IFERROR(FIND('Simulador IR 2025'!$I$29, A167), 0)</f>
        <v>1</v>
      </c>
      <c r="C167">
        <f>IF(B167&gt;0, MAX($C$2:C166)+1, "")</f>
        <v>165</v>
      </c>
      <c r="D167" t="str">
        <f t="shared" si="2"/>
        <v/>
      </c>
    </row>
    <row r="168" spans="1:4">
      <c r="A168" s="42" t="s">
        <v>230</v>
      </c>
      <c r="B168">
        <f>IFERROR(FIND('Simulador IR 2025'!$I$29, A168), 0)</f>
        <v>1</v>
      </c>
      <c r="C168">
        <f>IF(B168&gt;0, MAX($C$2:C167)+1, "")</f>
        <v>166</v>
      </c>
      <c r="D168" t="str">
        <f t="shared" si="2"/>
        <v/>
      </c>
    </row>
    <row r="169" spans="1:4">
      <c r="A169" s="42" t="s">
        <v>231</v>
      </c>
      <c r="B169">
        <f>IFERROR(FIND('Simulador IR 2025'!$I$29, A169), 0)</f>
        <v>1</v>
      </c>
      <c r="C169">
        <f>IF(B169&gt;0, MAX($C$2:C168)+1, "")</f>
        <v>167</v>
      </c>
      <c r="D169" t="str">
        <f t="shared" si="2"/>
        <v/>
      </c>
    </row>
    <row r="170" spans="1:4">
      <c r="A170" s="42" t="s">
        <v>232</v>
      </c>
      <c r="B170">
        <f>IFERROR(FIND('Simulador IR 2025'!$I$29, A170), 0)</f>
        <v>1</v>
      </c>
      <c r="C170">
        <f>IF(B170&gt;0, MAX($C$2:C169)+1, "")</f>
        <v>168</v>
      </c>
      <c r="D170" t="str">
        <f t="shared" si="2"/>
        <v/>
      </c>
    </row>
    <row r="171" spans="1:4">
      <c r="A171" s="42" t="s">
        <v>233</v>
      </c>
      <c r="B171">
        <f>IFERROR(FIND('Simulador IR 2025'!$I$29, A171), 0)</f>
        <v>1</v>
      </c>
      <c r="C171">
        <f>IF(B171&gt;0, MAX($C$2:C170)+1, "")</f>
        <v>169</v>
      </c>
      <c r="D171" t="str">
        <f t="shared" si="2"/>
        <v/>
      </c>
    </row>
    <row r="172" spans="1:4">
      <c r="A172" s="42" t="s">
        <v>234</v>
      </c>
      <c r="B172">
        <f>IFERROR(FIND('Simulador IR 2025'!$I$29, A172), 0)</f>
        <v>1</v>
      </c>
      <c r="C172">
        <f>IF(B172&gt;0, MAX($C$2:C171)+1, "")</f>
        <v>170</v>
      </c>
      <c r="D172" t="str">
        <f t="shared" si="2"/>
        <v/>
      </c>
    </row>
    <row r="173" spans="1:4">
      <c r="A173" s="42" t="s">
        <v>235</v>
      </c>
      <c r="B173">
        <f>IFERROR(FIND('Simulador IR 2025'!$I$29, A173), 0)</f>
        <v>1</v>
      </c>
      <c r="C173">
        <f>IF(B173&gt;0, MAX($C$2:C172)+1, "")</f>
        <v>171</v>
      </c>
      <c r="D173" t="str">
        <f t="shared" si="2"/>
        <v/>
      </c>
    </row>
    <row r="174" spans="1:4">
      <c r="A174" s="42" t="s">
        <v>236</v>
      </c>
      <c r="B174">
        <f>IFERROR(FIND('Simulador IR 2025'!$I$29, A174), 0)</f>
        <v>1</v>
      </c>
      <c r="C174">
        <f>IF(B174&gt;0, MAX($C$2:C173)+1, "")</f>
        <v>172</v>
      </c>
      <c r="D174" t="str">
        <f t="shared" si="2"/>
        <v/>
      </c>
    </row>
    <row r="175" spans="1:4">
      <c r="A175" s="42" t="s">
        <v>237</v>
      </c>
      <c r="B175">
        <f>IFERROR(FIND('Simulador IR 2025'!$I$29, A175), 0)</f>
        <v>1</v>
      </c>
      <c r="C175">
        <f>IF(B175&gt;0, MAX($C$2:C174)+1, "")</f>
        <v>173</v>
      </c>
      <c r="D175" t="str">
        <f t="shared" si="2"/>
        <v/>
      </c>
    </row>
    <row r="176" spans="1:4">
      <c r="A176" s="42" t="s">
        <v>238</v>
      </c>
      <c r="B176">
        <f>IFERROR(FIND('Simulador IR 2025'!$I$29, A176), 0)</f>
        <v>1</v>
      </c>
      <c r="C176">
        <f>IF(B176&gt;0, MAX($C$2:C175)+1, "")</f>
        <v>174</v>
      </c>
      <c r="D176" t="str">
        <f t="shared" si="2"/>
        <v/>
      </c>
    </row>
    <row r="177" spans="1:4">
      <c r="A177" s="42" t="s">
        <v>239</v>
      </c>
      <c r="B177">
        <f>IFERROR(FIND('Simulador IR 2025'!$I$29, A177), 0)</f>
        <v>1</v>
      </c>
      <c r="C177">
        <f>IF(B177&gt;0, MAX($C$2:C176)+1, "")</f>
        <v>175</v>
      </c>
      <c r="D177" t="str">
        <f t="shared" si="2"/>
        <v/>
      </c>
    </row>
    <row r="178" spans="1:4">
      <c r="A178" s="42" t="s">
        <v>240</v>
      </c>
      <c r="B178">
        <f>IFERROR(FIND('Simulador IR 2025'!$I$29, A178), 0)</f>
        <v>1</v>
      </c>
      <c r="C178">
        <f>IF(B178&gt;0, MAX($C$2:C177)+1, "")</f>
        <v>176</v>
      </c>
      <c r="D178" t="str">
        <f t="shared" si="2"/>
        <v/>
      </c>
    </row>
    <row r="179" spans="1:4">
      <c r="A179" s="42" t="s">
        <v>241</v>
      </c>
      <c r="B179">
        <f>IFERROR(FIND('Simulador IR 2025'!$I$29, A179), 0)</f>
        <v>1</v>
      </c>
      <c r="C179">
        <f>IF(B179&gt;0, MAX($C$2:C178)+1, "")</f>
        <v>177</v>
      </c>
      <c r="D179" t="str">
        <f t="shared" si="2"/>
        <v/>
      </c>
    </row>
    <row r="180" spans="1:4">
      <c r="A180" s="42" t="s">
        <v>242</v>
      </c>
      <c r="B180">
        <f>IFERROR(FIND('Simulador IR 2025'!$I$29, A180), 0)</f>
        <v>1</v>
      </c>
      <c r="C180">
        <f>IF(B180&gt;0, MAX($C$2:C179)+1, "")</f>
        <v>178</v>
      </c>
      <c r="D180" t="str">
        <f t="shared" si="2"/>
        <v/>
      </c>
    </row>
    <row r="181" spans="1:4">
      <c r="A181" s="42" t="s">
        <v>243</v>
      </c>
      <c r="B181">
        <f>IFERROR(FIND('Simulador IR 2025'!$I$29, A181), 0)</f>
        <v>1</v>
      </c>
      <c r="C181">
        <f>IF(B181&gt;0, MAX($C$2:C180)+1, "")</f>
        <v>179</v>
      </c>
      <c r="D181" t="str">
        <f t="shared" si="2"/>
        <v/>
      </c>
    </row>
    <row r="182" spans="1:4">
      <c r="A182" s="42" t="s">
        <v>244</v>
      </c>
      <c r="B182">
        <f>IFERROR(FIND('Simulador IR 2025'!$I$29, A182), 0)</f>
        <v>1</v>
      </c>
      <c r="C182">
        <f>IF(B182&gt;0, MAX($C$2:C181)+1, "")</f>
        <v>180</v>
      </c>
      <c r="D182" t="str">
        <f t="shared" si="2"/>
        <v/>
      </c>
    </row>
    <row r="183" spans="1:4">
      <c r="A183" s="42" t="s">
        <v>245</v>
      </c>
      <c r="B183">
        <f>IFERROR(FIND('Simulador IR 2025'!$I$29, A183), 0)</f>
        <v>1</v>
      </c>
      <c r="C183">
        <f>IF(B183&gt;0, MAX($C$2:C182)+1, "")</f>
        <v>181</v>
      </c>
      <c r="D183" t="str">
        <f t="shared" si="2"/>
        <v/>
      </c>
    </row>
    <row r="184" spans="1:4">
      <c r="A184" s="42" t="s">
        <v>246</v>
      </c>
      <c r="B184">
        <f>IFERROR(FIND('Simulador IR 2025'!$I$29, A184), 0)</f>
        <v>1</v>
      </c>
      <c r="C184">
        <f>IF(B184&gt;0, MAX($C$2:C183)+1, "")</f>
        <v>182</v>
      </c>
      <c r="D184" t="str">
        <f t="shared" si="2"/>
        <v/>
      </c>
    </row>
    <row r="185" spans="1:4">
      <c r="A185" s="42" t="s">
        <v>247</v>
      </c>
      <c r="B185">
        <f>IFERROR(FIND('Simulador IR 2025'!$I$29, A185), 0)</f>
        <v>1</v>
      </c>
      <c r="C185">
        <f>IF(B185&gt;0, MAX($C$2:C184)+1, "")</f>
        <v>183</v>
      </c>
      <c r="D185" t="str">
        <f t="shared" si="2"/>
        <v/>
      </c>
    </row>
    <row r="186" spans="1:4">
      <c r="A186" s="42" t="s">
        <v>248</v>
      </c>
      <c r="B186">
        <f>IFERROR(FIND('Simulador IR 2025'!$I$29, A186), 0)</f>
        <v>1</v>
      </c>
      <c r="C186">
        <f>IF(B186&gt;0, MAX($C$2:C185)+1, "")</f>
        <v>184</v>
      </c>
      <c r="D186" t="str">
        <f t="shared" si="2"/>
        <v/>
      </c>
    </row>
    <row r="187" spans="1:4">
      <c r="A187" s="42" t="s">
        <v>249</v>
      </c>
      <c r="B187">
        <f>IFERROR(FIND('Simulador IR 2025'!$I$29, A187), 0)</f>
        <v>1</v>
      </c>
      <c r="C187">
        <f>IF(B187&gt;0, MAX($C$2:C186)+1, "")</f>
        <v>185</v>
      </c>
      <c r="D187" t="str">
        <f t="shared" si="2"/>
        <v/>
      </c>
    </row>
    <row r="188" spans="1:4">
      <c r="A188" s="42" t="s">
        <v>250</v>
      </c>
      <c r="B188">
        <f>IFERROR(FIND('Simulador IR 2025'!$I$29, A188), 0)</f>
        <v>1</v>
      </c>
      <c r="C188">
        <f>IF(B188&gt;0, MAX($C$2:C187)+1, "")</f>
        <v>186</v>
      </c>
      <c r="D188" t="str">
        <f t="shared" si="2"/>
        <v/>
      </c>
    </row>
    <row r="189" spans="1:4">
      <c r="A189" s="42" t="s">
        <v>251</v>
      </c>
      <c r="B189">
        <f>IFERROR(FIND('Simulador IR 2025'!$I$29, A189), 0)</f>
        <v>1</v>
      </c>
      <c r="C189">
        <f>IF(B189&gt;0, MAX($C$2:C188)+1, "")</f>
        <v>187</v>
      </c>
      <c r="D189" t="str">
        <f t="shared" si="2"/>
        <v/>
      </c>
    </row>
    <row r="190" spans="1:4">
      <c r="A190" s="42" t="s">
        <v>252</v>
      </c>
      <c r="B190">
        <f>IFERROR(FIND('Simulador IR 2025'!$I$29, A190), 0)</f>
        <v>1</v>
      </c>
      <c r="C190">
        <f>IF(B190&gt;0, MAX($C$2:C189)+1, "")</f>
        <v>188</v>
      </c>
      <c r="D190" t="str">
        <f t="shared" si="2"/>
        <v/>
      </c>
    </row>
    <row r="191" spans="1:4">
      <c r="A191" s="42" t="s">
        <v>253</v>
      </c>
      <c r="B191">
        <f>IFERROR(FIND('Simulador IR 2025'!$I$29, A191), 0)</f>
        <v>1</v>
      </c>
      <c r="C191">
        <f>IF(B191&gt;0, MAX($C$2:C190)+1, "")</f>
        <v>189</v>
      </c>
      <c r="D191" t="str">
        <f t="shared" si="2"/>
        <v/>
      </c>
    </row>
    <row r="192" spans="1:4">
      <c r="A192" s="42" t="s">
        <v>254</v>
      </c>
      <c r="B192">
        <f>IFERROR(FIND('Simulador IR 2025'!$I$29, A192), 0)</f>
        <v>1</v>
      </c>
      <c r="C192">
        <f>IF(B192&gt;0, MAX($C$2:C191)+1, "")</f>
        <v>190</v>
      </c>
      <c r="D192" t="str">
        <f t="shared" si="2"/>
        <v/>
      </c>
    </row>
    <row r="193" spans="1:4">
      <c r="A193" s="42" t="s">
        <v>255</v>
      </c>
      <c r="B193">
        <f>IFERROR(FIND('Simulador IR 2025'!$I$29, A193), 0)</f>
        <v>1</v>
      </c>
      <c r="C193">
        <f>IF(B193&gt;0, MAX($C$2:C192)+1, "")</f>
        <v>191</v>
      </c>
      <c r="D193" t="str">
        <f t="shared" si="2"/>
        <v/>
      </c>
    </row>
    <row r="194" spans="1:4">
      <c r="A194" s="42" t="s">
        <v>256</v>
      </c>
      <c r="B194">
        <f>IFERROR(FIND('Simulador IR 2025'!$I$29, A194), 0)</f>
        <v>1</v>
      </c>
      <c r="C194">
        <f>IF(B194&gt;0, MAX($C$2:C193)+1, "")</f>
        <v>192</v>
      </c>
      <c r="D194" t="str">
        <f t="shared" si="2"/>
        <v/>
      </c>
    </row>
    <row r="195" spans="1:4">
      <c r="A195" s="42" t="s">
        <v>257</v>
      </c>
      <c r="B195">
        <f>IFERROR(FIND('Simulador IR 2025'!$I$29, A195), 0)</f>
        <v>1</v>
      </c>
      <c r="C195">
        <f>IF(B195&gt;0, MAX($C$2:C194)+1, "")</f>
        <v>193</v>
      </c>
      <c r="D195" t="str">
        <f t="shared" si="2"/>
        <v/>
      </c>
    </row>
    <row r="196" spans="1:4">
      <c r="A196" s="42" t="s">
        <v>258</v>
      </c>
      <c r="B196">
        <f>IFERROR(FIND('Simulador IR 2025'!$I$29, A196), 0)</f>
        <v>1</v>
      </c>
      <c r="C196">
        <f>IF(B196&gt;0, MAX($C$2:C195)+1, "")</f>
        <v>194</v>
      </c>
      <c r="D196" t="str">
        <f t="shared" ref="D196:D259" si="3">IFERROR(VLOOKUP(ROW(A194), $A$3:$C$2681, -2, FALSE), "")</f>
        <v/>
      </c>
    </row>
    <row r="197" spans="1:4">
      <c r="A197" s="42" t="s">
        <v>259</v>
      </c>
      <c r="B197">
        <f>IFERROR(FIND('Simulador IR 2025'!$I$29, A197), 0)</f>
        <v>1</v>
      </c>
      <c r="C197">
        <f>IF(B197&gt;0, MAX($C$2:C196)+1, "")</f>
        <v>195</v>
      </c>
      <c r="D197" t="str">
        <f t="shared" si="3"/>
        <v/>
      </c>
    </row>
    <row r="198" spans="1:4">
      <c r="A198" s="42" t="s">
        <v>260</v>
      </c>
      <c r="B198">
        <f>IFERROR(FIND('Simulador IR 2025'!$I$29, A198), 0)</f>
        <v>1</v>
      </c>
      <c r="C198">
        <f>IF(B198&gt;0, MAX($C$2:C197)+1, "")</f>
        <v>196</v>
      </c>
      <c r="D198" t="str">
        <f t="shared" si="3"/>
        <v/>
      </c>
    </row>
    <row r="199" spans="1:4">
      <c r="A199" s="42" t="s">
        <v>261</v>
      </c>
      <c r="B199">
        <f>IFERROR(FIND('Simulador IR 2025'!$I$29, A199), 0)</f>
        <v>1</v>
      </c>
      <c r="C199">
        <f>IF(B199&gt;0, MAX($C$2:C198)+1, "")</f>
        <v>197</v>
      </c>
      <c r="D199" t="str">
        <f t="shared" si="3"/>
        <v/>
      </c>
    </row>
    <row r="200" spans="1:4">
      <c r="A200" s="42" t="s">
        <v>262</v>
      </c>
      <c r="B200">
        <f>IFERROR(FIND('Simulador IR 2025'!$I$29, A200), 0)</f>
        <v>1</v>
      </c>
      <c r="C200">
        <f>IF(B200&gt;0, MAX($C$2:C199)+1, "")</f>
        <v>198</v>
      </c>
      <c r="D200" t="str">
        <f t="shared" si="3"/>
        <v/>
      </c>
    </row>
    <row r="201" spans="1:4">
      <c r="A201" s="42" t="s">
        <v>263</v>
      </c>
      <c r="B201">
        <f>IFERROR(FIND('Simulador IR 2025'!$I$29, A201), 0)</f>
        <v>1</v>
      </c>
      <c r="C201">
        <f>IF(B201&gt;0, MAX($C$2:C200)+1, "")</f>
        <v>199</v>
      </c>
      <c r="D201" t="str">
        <f t="shared" si="3"/>
        <v/>
      </c>
    </row>
    <row r="202" spans="1:4">
      <c r="A202" s="42" t="s">
        <v>264</v>
      </c>
      <c r="B202">
        <f>IFERROR(FIND('Simulador IR 2025'!$I$29, A202), 0)</f>
        <v>1</v>
      </c>
      <c r="C202">
        <f>IF(B202&gt;0, MAX($C$2:C201)+1, "")</f>
        <v>200</v>
      </c>
      <c r="D202" t="str">
        <f t="shared" si="3"/>
        <v/>
      </c>
    </row>
    <row r="203" spans="1:4">
      <c r="A203" s="42" t="s">
        <v>265</v>
      </c>
      <c r="B203">
        <f>IFERROR(FIND('Simulador IR 2025'!$I$29, A203), 0)</f>
        <v>1</v>
      </c>
      <c r="C203">
        <f>IF(B203&gt;0, MAX($C$2:C202)+1, "")</f>
        <v>201</v>
      </c>
      <c r="D203" t="str">
        <f t="shared" si="3"/>
        <v/>
      </c>
    </row>
    <row r="204" spans="1:4">
      <c r="A204" s="42" t="s">
        <v>266</v>
      </c>
      <c r="B204">
        <f>IFERROR(FIND('Simulador IR 2025'!$I$29, A204), 0)</f>
        <v>1</v>
      </c>
      <c r="C204">
        <f>IF(B204&gt;0, MAX($C$2:C203)+1, "")</f>
        <v>202</v>
      </c>
      <c r="D204" t="str">
        <f t="shared" si="3"/>
        <v/>
      </c>
    </row>
    <row r="205" spans="1:4">
      <c r="A205" s="42" t="s">
        <v>267</v>
      </c>
      <c r="B205">
        <f>IFERROR(FIND('Simulador IR 2025'!$I$29, A205), 0)</f>
        <v>1</v>
      </c>
      <c r="C205">
        <f>IF(B205&gt;0, MAX($C$2:C204)+1, "")</f>
        <v>203</v>
      </c>
      <c r="D205" t="str">
        <f t="shared" si="3"/>
        <v/>
      </c>
    </row>
    <row r="206" spans="1:4">
      <c r="A206" s="42" t="s">
        <v>268</v>
      </c>
      <c r="B206">
        <f>IFERROR(FIND('Simulador IR 2025'!$I$29, A206), 0)</f>
        <v>1</v>
      </c>
      <c r="C206">
        <f>IF(B206&gt;0, MAX($C$2:C205)+1, "")</f>
        <v>204</v>
      </c>
      <c r="D206" t="str">
        <f t="shared" si="3"/>
        <v/>
      </c>
    </row>
    <row r="207" spans="1:4">
      <c r="A207" s="42" t="s">
        <v>269</v>
      </c>
      <c r="B207">
        <f>IFERROR(FIND('Simulador IR 2025'!$I$29, A207), 0)</f>
        <v>1</v>
      </c>
      <c r="C207">
        <f>IF(B207&gt;0, MAX($C$2:C206)+1, "")</f>
        <v>205</v>
      </c>
      <c r="D207" t="str">
        <f t="shared" si="3"/>
        <v/>
      </c>
    </row>
    <row r="208" spans="1:4">
      <c r="A208" s="42" t="s">
        <v>270</v>
      </c>
      <c r="B208">
        <f>IFERROR(FIND('Simulador IR 2025'!$I$29, A208), 0)</f>
        <v>1</v>
      </c>
      <c r="C208">
        <f>IF(B208&gt;0, MAX($C$2:C207)+1, "")</f>
        <v>206</v>
      </c>
      <c r="D208" t="str">
        <f t="shared" si="3"/>
        <v/>
      </c>
    </row>
    <row r="209" spans="1:4">
      <c r="A209" s="42" t="s">
        <v>271</v>
      </c>
      <c r="B209">
        <f>IFERROR(FIND('Simulador IR 2025'!$I$29, A209), 0)</f>
        <v>1</v>
      </c>
      <c r="C209">
        <f>IF(B209&gt;0, MAX($C$2:C208)+1, "")</f>
        <v>207</v>
      </c>
      <c r="D209" t="str">
        <f t="shared" si="3"/>
        <v/>
      </c>
    </row>
    <row r="210" spans="1:4">
      <c r="A210" s="42" t="s">
        <v>272</v>
      </c>
      <c r="B210">
        <f>IFERROR(FIND('Simulador IR 2025'!$I$29, A210), 0)</f>
        <v>1</v>
      </c>
      <c r="C210">
        <f>IF(B210&gt;0, MAX($C$2:C209)+1, "")</f>
        <v>208</v>
      </c>
      <c r="D210" t="str">
        <f t="shared" si="3"/>
        <v/>
      </c>
    </row>
    <row r="211" spans="1:4">
      <c r="A211" s="42" t="s">
        <v>273</v>
      </c>
      <c r="B211">
        <f>IFERROR(FIND('Simulador IR 2025'!$I$29, A211), 0)</f>
        <v>1</v>
      </c>
      <c r="C211">
        <f>IF(B211&gt;0, MAX($C$2:C210)+1, "")</f>
        <v>209</v>
      </c>
      <c r="D211" t="str">
        <f t="shared" si="3"/>
        <v/>
      </c>
    </row>
    <row r="212" spans="1:4">
      <c r="A212" s="42" t="s">
        <v>274</v>
      </c>
      <c r="B212">
        <f>IFERROR(FIND('Simulador IR 2025'!$I$29, A212), 0)</f>
        <v>1</v>
      </c>
      <c r="C212">
        <f>IF(B212&gt;0, MAX($C$2:C211)+1, "")</f>
        <v>210</v>
      </c>
      <c r="D212" t="str">
        <f t="shared" si="3"/>
        <v/>
      </c>
    </row>
    <row r="213" spans="1:4">
      <c r="A213" s="42" t="s">
        <v>275</v>
      </c>
      <c r="B213">
        <f>IFERROR(FIND('Simulador IR 2025'!$I$29, A213), 0)</f>
        <v>1</v>
      </c>
      <c r="C213">
        <f>IF(B213&gt;0, MAX($C$2:C212)+1, "")</f>
        <v>211</v>
      </c>
      <c r="D213" t="str">
        <f t="shared" si="3"/>
        <v/>
      </c>
    </row>
    <row r="214" spans="1:4">
      <c r="A214" s="42" t="s">
        <v>276</v>
      </c>
      <c r="B214">
        <f>IFERROR(FIND('Simulador IR 2025'!$I$29, A214), 0)</f>
        <v>1</v>
      </c>
      <c r="C214">
        <f>IF(B214&gt;0, MAX($C$2:C213)+1, "")</f>
        <v>212</v>
      </c>
      <c r="D214" t="str">
        <f t="shared" si="3"/>
        <v/>
      </c>
    </row>
    <row r="215" spans="1:4">
      <c r="A215" s="42" t="s">
        <v>277</v>
      </c>
      <c r="B215">
        <f>IFERROR(FIND('Simulador IR 2025'!$I$29, A215), 0)</f>
        <v>1</v>
      </c>
      <c r="C215">
        <f>IF(B215&gt;0, MAX($C$2:C214)+1, "")</f>
        <v>213</v>
      </c>
      <c r="D215" t="str">
        <f t="shared" si="3"/>
        <v/>
      </c>
    </row>
    <row r="216" spans="1:4">
      <c r="A216" s="42" t="s">
        <v>278</v>
      </c>
      <c r="B216">
        <f>IFERROR(FIND('Simulador IR 2025'!$I$29, A216), 0)</f>
        <v>1</v>
      </c>
      <c r="C216">
        <f>IF(B216&gt;0, MAX($C$2:C215)+1, "")</f>
        <v>214</v>
      </c>
      <c r="D216" t="str">
        <f t="shared" si="3"/>
        <v/>
      </c>
    </row>
    <row r="217" spans="1:4">
      <c r="A217" s="42" t="s">
        <v>279</v>
      </c>
      <c r="B217">
        <f>IFERROR(FIND('Simulador IR 2025'!$I$29, A217), 0)</f>
        <v>1</v>
      </c>
      <c r="C217">
        <f>IF(B217&gt;0, MAX($C$2:C216)+1, "")</f>
        <v>215</v>
      </c>
      <c r="D217" t="str">
        <f t="shared" si="3"/>
        <v/>
      </c>
    </row>
    <row r="218" spans="1:4">
      <c r="A218" s="42" t="s">
        <v>280</v>
      </c>
      <c r="B218">
        <f>IFERROR(FIND('Simulador IR 2025'!$I$29, A218), 0)</f>
        <v>1</v>
      </c>
      <c r="C218">
        <f>IF(B218&gt;0, MAX($C$2:C217)+1, "")</f>
        <v>216</v>
      </c>
      <c r="D218" t="str">
        <f t="shared" si="3"/>
        <v/>
      </c>
    </row>
    <row r="219" spans="1:4">
      <c r="A219" s="42" t="s">
        <v>281</v>
      </c>
      <c r="B219">
        <f>IFERROR(FIND('Simulador IR 2025'!$I$29, A219), 0)</f>
        <v>1</v>
      </c>
      <c r="C219">
        <f>IF(B219&gt;0, MAX($C$2:C218)+1, "")</f>
        <v>217</v>
      </c>
      <c r="D219" t="str">
        <f t="shared" si="3"/>
        <v/>
      </c>
    </row>
    <row r="220" spans="1:4">
      <c r="A220" s="42" t="s">
        <v>282</v>
      </c>
      <c r="B220">
        <f>IFERROR(FIND('Simulador IR 2025'!$I$29, A220), 0)</f>
        <v>1</v>
      </c>
      <c r="C220">
        <f>IF(B220&gt;0, MAX($C$2:C219)+1, "")</f>
        <v>218</v>
      </c>
      <c r="D220" t="str">
        <f t="shared" si="3"/>
        <v/>
      </c>
    </row>
    <row r="221" spans="1:4">
      <c r="A221" s="42" t="s">
        <v>283</v>
      </c>
      <c r="B221">
        <f>IFERROR(FIND('Simulador IR 2025'!$I$29, A221), 0)</f>
        <v>1</v>
      </c>
      <c r="C221">
        <f>IF(B221&gt;0, MAX($C$2:C220)+1, "")</f>
        <v>219</v>
      </c>
      <c r="D221" t="str">
        <f t="shared" si="3"/>
        <v/>
      </c>
    </row>
    <row r="222" spans="1:4">
      <c r="A222" s="42" t="s">
        <v>284</v>
      </c>
      <c r="B222">
        <f>IFERROR(FIND('Simulador IR 2025'!$I$29, A222), 0)</f>
        <v>1</v>
      </c>
      <c r="C222">
        <f>IF(B222&gt;0, MAX($C$2:C221)+1, "")</f>
        <v>220</v>
      </c>
      <c r="D222" t="str">
        <f t="shared" si="3"/>
        <v/>
      </c>
    </row>
    <row r="223" spans="1:4">
      <c r="A223" s="42" t="s">
        <v>285</v>
      </c>
      <c r="B223">
        <f>IFERROR(FIND('Simulador IR 2025'!$I$29, A223), 0)</f>
        <v>1</v>
      </c>
      <c r="C223">
        <f>IF(B223&gt;0, MAX($C$2:C222)+1, "")</f>
        <v>221</v>
      </c>
      <c r="D223" t="str">
        <f t="shared" si="3"/>
        <v/>
      </c>
    </row>
    <row r="224" spans="1:4">
      <c r="A224" s="42" t="s">
        <v>286</v>
      </c>
      <c r="B224">
        <f>IFERROR(FIND('Simulador IR 2025'!$I$29, A224), 0)</f>
        <v>1</v>
      </c>
      <c r="C224">
        <f>IF(B224&gt;0, MAX($C$2:C223)+1, "")</f>
        <v>222</v>
      </c>
      <c r="D224" t="str">
        <f t="shared" si="3"/>
        <v/>
      </c>
    </row>
    <row r="225" spans="1:4">
      <c r="A225" s="42" t="s">
        <v>287</v>
      </c>
      <c r="B225">
        <f>IFERROR(FIND('Simulador IR 2025'!$I$29, A225), 0)</f>
        <v>1</v>
      </c>
      <c r="C225">
        <f>IF(B225&gt;0, MAX($C$2:C224)+1, "")</f>
        <v>223</v>
      </c>
      <c r="D225" t="str">
        <f t="shared" si="3"/>
        <v/>
      </c>
    </row>
    <row r="226" spans="1:4">
      <c r="A226" s="42" t="s">
        <v>288</v>
      </c>
      <c r="B226">
        <f>IFERROR(FIND('Simulador IR 2025'!$I$29, A226), 0)</f>
        <v>1</v>
      </c>
      <c r="C226">
        <f>IF(B226&gt;0, MAX($C$2:C225)+1, "")</f>
        <v>224</v>
      </c>
      <c r="D226" t="str">
        <f t="shared" si="3"/>
        <v/>
      </c>
    </row>
    <row r="227" spans="1:4">
      <c r="A227" s="42" t="s">
        <v>289</v>
      </c>
      <c r="B227">
        <f>IFERROR(FIND('Simulador IR 2025'!$I$29, A227), 0)</f>
        <v>1</v>
      </c>
      <c r="C227">
        <f>IF(B227&gt;0, MAX($C$2:C226)+1, "")</f>
        <v>225</v>
      </c>
      <c r="D227" t="str">
        <f t="shared" si="3"/>
        <v/>
      </c>
    </row>
    <row r="228" spans="1:4">
      <c r="A228" s="42" t="s">
        <v>290</v>
      </c>
      <c r="B228">
        <f>IFERROR(FIND('Simulador IR 2025'!$I$29, A228), 0)</f>
        <v>1</v>
      </c>
      <c r="C228">
        <f>IF(B228&gt;0, MAX($C$2:C227)+1, "")</f>
        <v>226</v>
      </c>
      <c r="D228" t="str">
        <f t="shared" si="3"/>
        <v/>
      </c>
    </row>
    <row r="229" spans="1:4">
      <c r="A229" s="42" t="s">
        <v>291</v>
      </c>
      <c r="B229">
        <f>IFERROR(FIND('Simulador IR 2025'!$I$29, A229), 0)</f>
        <v>1</v>
      </c>
      <c r="C229">
        <f>IF(B229&gt;0, MAX($C$2:C228)+1, "")</f>
        <v>227</v>
      </c>
      <c r="D229" t="str">
        <f t="shared" si="3"/>
        <v/>
      </c>
    </row>
    <row r="230" spans="1:4">
      <c r="A230" s="42" t="s">
        <v>292</v>
      </c>
      <c r="B230">
        <f>IFERROR(FIND('Simulador IR 2025'!$I$29, A230), 0)</f>
        <v>1</v>
      </c>
      <c r="C230">
        <f>IF(B230&gt;0, MAX($C$2:C229)+1, "")</f>
        <v>228</v>
      </c>
      <c r="D230" t="str">
        <f t="shared" si="3"/>
        <v/>
      </c>
    </row>
    <row r="231" spans="1:4">
      <c r="A231" s="42" t="s">
        <v>293</v>
      </c>
      <c r="B231">
        <f>IFERROR(FIND('Simulador IR 2025'!$I$29, A231), 0)</f>
        <v>1</v>
      </c>
      <c r="C231">
        <f>IF(B231&gt;0, MAX($C$2:C230)+1, "")</f>
        <v>229</v>
      </c>
      <c r="D231" t="str">
        <f t="shared" si="3"/>
        <v/>
      </c>
    </row>
    <row r="232" spans="1:4">
      <c r="A232" s="42" t="s">
        <v>294</v>
      </c>
      <c r="B232">
        <f>IFERROR(FIND('Simulador IR 2025'!$I$29, A232), 0)</f>
        <v>1</v>
      </c>
      <c r="C232">
        <f>IF(B232&gt;0, MAX($C$2:C231)+1, "")</f>
        <v>230</v>
      </c>
      <c r="D232" t="str">
        <f t="shared" si="3"/>
        <v/>
      </c>
    </row>
    <row r="233" spans="1:4">
      <c r="A233" s="42" t="s">
        <v>295</v>
      </c>
      <c r="B233">
        <f>IFERROR(FIND('Simulador IR 2025'!$I$29, A233), 0)</f>
        <v>1</v>
      </c>
      <c r="C233">
        <f>IF(B233&gt;0, MAX($C$2:C232)+1, "")</f>
        <v>231</v>
      </c>
      <c r="D233" t="str">
        <f t="shared" si="3"/>
        <v/>
      </c>
    </row>
    <row r="234" spans="1:4">
      <c r="A234" s="42" t="s">
        <v>296</v>
      </c>
      <c r="B234">
        <f>IFERROR(FIND('Simulador IR 2025'!$I$29, A234), 0)</f>
        <v>1</v>
      </c>
      <c r="C234">
        <f>IF(B234&gt;0, MAX($C$2:C233)+1, "")</f>
        <v>232</v>
      </c>
      <c r="D234" t="str">
        <f t="shared" si="3"/>
        <v/>
      </c>
    </row>
    <row r="235" spans="1:4">
      <c r="A235" s="42" t="s">
        <v>297</v>
      </c>
      <c r="B235">
        <f>IFERROR(FIND('Simulador IR 2025'!$I$29, A235), 0)</f>
        <v>1</v>
      </c>
      <c r="C235">
        <f>IF(B235&gt;0, MAX($C$2:C234)+1, "")</f>
        <v>233</v>
      </c>
      <c r="D235" t="str">
        <f t="shared" si="3"/>
        <v/>
      </c>
    </row>
    <row r="236" spans="1:4">
      <c r="A236" s="42" t="s">
        <v>298</v>
      </c>
      <c r="B236">
        <f>IFERROR(FIND('Simulador IR 2025'!$I$29, A236), 0)</f>
        <v>1</v>
      </c>
      <c r="C236">
        <f>IF(B236&gt;0, MAX($C$2:C235)+1, "")</f>
        <v>234</v>
      </c>
      <c r="D236" t="str">
        <f t="shared" si="3"/>
        <v/>
      </c>
    </row>
    <row r="237" spans="1:4">
      <c r="A237" s="42" t="s">
        <v>299</v>
      </c>
      <c r="B237">
        <f>IFERROR(FIND('Simulador IR 2025'!$I$29, A237), 0)</f>
        <v>1</v>
      </c>
      <c r="C237">
        <f>IF(B237&gt;0, MAX($C$2:C236)+1, "")</f>
        <v>235</v>
      </c>
      <c r="D237" t="str">
        <f t="shared" si="3"/>
        <v/>
      </c>
    </row>
    <row r="238" spans="1:4">
      <c r="A238" s="42" t="s">
        <v>300</v>
      </c>
      <c r="B238">
        <f>IFERROR(FIND('Simulador IR 2025'!$I$29, A238), 0)</f>
        <v>1</v>
      </c>
      <c r="C238">
        <f>IF(B238&gt;0, MAX($C$2:C237)+1, "")</f>
        <v>236</v>
      </c>
      <c r="D238" t="str">
        <f t="shared" si="3"/>
        <v/>
      </c>
    </row>
    <row r="239" spans="1:4">
      <c r="A239" s="42" t="s">
        <v>301</v>
      </c>
      <c r="B239">
        <f>IFERROR(FIND('Simulador IR 2025'!$I$29, A239), 0)</f>
        <v>1</v>
      </c>
      <c r="C239">
        <f>IF(B239&gt;0, MAX($C$2:C238)+1, "")</f>
        <v>237</v>
      </c>
      <c r="D239" t="str">
        <f t="shared" si="3"/>
        <v/>
      </c>
    </row>
    <row r="240" spans="1:4">
      <c r="A240" s="42" t="s">
        <v>302</v>
      </c>
      <c r="B240">
        <f>IFERROR(FIND('Simulador IR 2025'!$I$29, A240), 0)</f>
        <v>1</v>
      </c>
      <c r="C240">
        <f>IF(B240&gt;0, MAX($C$2:C239)+1, "")</f>
        <v>238</v>
      </c>
      <c r="D240" t="str">
        <f t="shared" si="3"/>
        <v/>
      </c>
    </row>
    <row r="241" spans="1:4">
      <c r="A241" s="42" t="s">
        <v>303</v>
      </c>
      <c r="B241">
        <f>IFERROR(FIND('Simulador IR 2025'!$I$29, A241), 0)</f>
        <v>1</v>
      </c>
      <c r="C241">
        <f>IF(B241&gt;0, MAX($C$2:C240)+1, "")</f>
        <v>239</v>
      </c>
      <c r="D241" t="str">
        <f t="shared" si="3"/>
        <v/>
      </c>
    </row>
    <row r="242" spans="1:4">
      <c r="A242" s="42" t="s">
        <v>304</v>
      </c>
      <c r="B242">
        <f>IFERROR(FIND('Simulador IR 2025'!$I$29, A242), 0)</f>
        <v>1</v>
      </c>
      <c r="C242">
        <f>IF(B242&gt;0, MAX($C$2:C241)+1, "")</f>
        <v>240</v>
      </c>
      <c r="D242" t="str">
        <f t="shared" si="3"/>
        <v/>
      </c>
    </row>
    <row r="243" spans="1:4">
      <c r="A243" s="42" t="s">
        <v>305</v>
      </c>
      <c r="B243">
        <f>IFERROR(FIND('Simulador IR 2025'!$I$29, A243), 0)</f>
        <v>1</v>
      </c>
      <c r="C243">
        <f>IF(B243&gt;0, MAX($C$2:C242)+1, "")</f>
        <v>241</v>
      </c>
      <c r="D243" t="str">
        <f t="shared" si="3"/>
        <v/>
      </c>
    </row>
    <row r="244" spans="1:4">
      <c r="A244" s="42" t="s">
        <v>306</v>
      </c>
      <c r="B244">
        <f>IFERROR(FIND('Simulador IR 2025'!$I$29, A244), 0)</f>
        <v>1</v>
      </c>
      <c r="C244">
        <f>IF(B244&gt;0, MAX($C$2:C243)+1, "")</f>
        <v>242</v>
      </c>
      <c r="D244" t="str">
        <f t="shared" si="3"/>
        <v/>
      </c>
    </row>
    <row r="245" spans="1:4">
      <c r="A245" s="42" t="s">
        <v>307</v>
      </c>
      <c r="B245">
        <f>IFERROR(FIND('Simulador IR 2025'!$I$29, A245), 0)</f>
        <v>1</v>
      </c>
      <c r="C245">
        <f>IF(B245&gt;0, MAX($C$2:C244)+1, "")</f>
        <v>243</v>
      </c>
      <c r="D245" t="str">
        <f t="shared" si="3"/>
        <v/>
      </c>
    </row>
    <row r="246" spans="1:4">
      <c r="A246" s="42" t="s">
        <v>308</v>
      </c>
      <c r="B246">
        <f>IFERROR(FIND('Simulador IR 2025'!$I$29, A246), 0)</f>
        <v>1</v>
      </c>
      <c r="C246">
        <f>IF(B246&gt;0, MAX($C$2:C245)+1, "")</f>
        <v>244</v>
      </c>
      <c r="D246" t="str">
        <f t="shared" si="3"/>
        <v/>
      </c>
    </row>
    <row r="247" spans="1:4">
      <c r="A247" s="42" t="s">
        <v>309</v>
      </c>
      <c r="B247">
        <f>IFERROR(FIND('Simulador IR 2025'!$I$29, A247), 0)</f>
        <v>1</v>
      </c>
      <c r="C247">
        <f>IF(B247&gt;0, MAX($C$2:C246)+1, "")</f>
        <v>245</v>
      </c>
      <c r="D247" t="str">
        <f t="shared" si="3"/>
        <v/>
      </c>
    </row>
    <row r="248" spans="1:4">
      <c r="A248" s="42" t="s">
        <v>310</v>
      </c>
      <c r="B248">
        <f>IFERROR(FIND('Simulador IR 2025'!$I$29, A248), 0)</f>
        <v>1</v>
      </c>
      <c r="C248">
        <f>IF(B248&gt;0, MAX($C$2:C247)+1, "")</f>
        <v>246</v>
      </c>
      <c r="D248" t="str">
        <f t="shared" si="3"/>
        <v/>
      </c>
    </row>
    <row r="249" spans="1:4">
      <c r="A249" s="42" t="s">
        <v>311</v>
      </c>
      <c r="B249">
        <f>IFERROR(FIND('Simulador IR 2025'!$I$29, A249), 0)</f>
        <v>1</v>
      </c>
      <c r="C249">
        <f>IF(B249&gt;0, MAX($C$2:C248)+1, "")</f>
        <v>247</v>
      </c>
      <c r="D249" t="str">
        <f t="shared" si="3"/>
        <v/>
      </c>
    </row>
    <row r="250" spans="1:4">
      <c r="A250" s="42" t="s">
        <v>312</v>
      </c>
      <c r="B250">
        <f>IFERROR(FIND('Simulador IR 2025'!$I$29, A250), 0)</f>
        <v>1</v>
      </c>
      <c r="C250">
        <f>IF(B250&gt;0, MAX($C$2:C249)+1, "")</f>
        <v>248</v>
      </c>
      <c r="D250" t="str">
        <f t="shared" si="3"/>
        <v/>
      </c>
    </row>
    <row r="251" spans="1:4">
      <c r="A251" s="42" t="s">
        <v>313</v>
      </c>
      <c r="B251">
        <f>IFERROR(FIND('Simulador IR 2025'!$I$29, A251), 0)</f>
        <v>1</v>
      </c>
      <c r="C251">
        <f>IF(B251&gt;0, MAX($C$2:C250)+1, "")</f>
        <v>249</v>
      </c>
      <c r="D251" t="str">
        <f t="shared" si="3"/>
        <v/>
      </c>
    </row>
    <row r="252" spans="1:4">
      <c r="A252" s="42" t="s">
        <v>314</v>
      </c>
      <c r="B252">
        <f>IFERROR(FIND('Simulador IR 2025'!$I$29, A252), 0)</f>
        <v>1</v>
      </c>
      <c r="C252">
        <f>IF(B252&gt;0, MAX($C$2:C251)+1, "")</f>
        <v>250</v>
      </c>
      <c r="D252" t="str">
        <f t="shared" si="3"/>
        <v/>
      </c>
    </row>
    <row r="253" spans="1:4">
      <c r="A253" s="42" t="s">
        <v>315</v>
      </c>
      <c r="B253">
        <f>IFERROR(FIND('Simulador IR 2025'!$I$29, A253), 0)</f>
        <v>1</v>
      </c>
      <c r="C253">
        <f>IF(B253&gt;0, MAX($C$2:C252)+1, "")</f>
        <v>251</v>
      </c>
      <c r="D253" t="str">
        <f t="shared" si="3"/>
        <v/>
      </c>
    </row>
    <row r="254" spans="1:4">
      <c r="A254" s="42" t="s">
        <v>316</v>
      </c>
      <c r="B254">
        <f>IFERROR(FIND('Simulador IR 2025'!$I$29, A254), 0)</f>
        <v>1</v>
      </c>
      <c r="C254">
        <f>IF(B254&gt;0, MAX($C$2:C253)+1, "")</f>
        <v>252</v>
      </c>
      <c r="D254" t="str">
        <f t="shared" si="3"/>
        <v/>
      </c>
    </row>
    <row r="255" spans="1:4">
      <c r="A255" s="42" t="s">
        <v>317</v>
      </c>
      <c r="B255">
        <f>IFERROR(FIND('Simulador IR 2025'!$I$29, A255), 0)</f>
        <v>1</v>
      </c>
      <c r="C255">
        <f>IF(B255&gt;0, MAX($C$2:C254)+1, "")</f>
        <v>253</v>
      </c>
      <c r="D255" t="str">
        <f t="shared" si="3"/>
        <v/>
      </c>
    </row>
    <row r="256" spans="1:4">
      <c r="A256" s="42" t="s">
        <v>318</v>
      </c>
      <c r="B256">
        <f>IFERROR(FIND('Simulador IR 2025'!$I$29, A256), 0)</f>
        <v>1</v>
      </c>
      <c r="C256">
        <f>IF(B256&gt;0, MAX($C$2:C255)+1, "")</f>
        <v>254</v>
      </c>
      <c r="D256" t="str">
        <f t="shared" si="3"/>
        <v/>
      </c>
    </row>
    <row r="257" spans="1:4">
      <c r="A257" s="42" t="s">
        <v>319</v>
      </c>
      <c r="B257">
        <f>IFERROR(FIND('Simulador IR 2025'!$I$29, A257), 0)</f>
        <v>1</v>
      </c>
      <c r="C257">
        <f>IF(B257&gt;0, MAX($C$2:C256)+1, "")</f>
        <v>255</v>
      </c>
      <c r="D257" t="str">
        <f t="shared" si="3"/>
        <v/>
      </c>
    </row>
    <row r="258" spans="1:4">
      <c r="A258" s="42" t="s">
        <v>320</v>
      </c>
      <c r="B258">
        <f>IFERROR(FIND('Simulador IR 2025'!$I$29, A258), 0)</f>
        <v>1</v>
      </c>
      <c r="C258">
        <f>IF(B258&gt;0, MAX($C$2:C257)+1, "")</f>
        <v>256</v>
      </c>
      <c r="D258" t="str">
        <f t="shared" si="3"/>
        <v/>
      </c>
    </row>
    <row r="259" spans="1:4">
      <c r="A259" s="42" t="s">
        <v>321</v>
      </c>
      <c r="B259">
        <f>IFERROR(FIND('Simulador IR 2025'!$I$29, A259), 0)</f>
        <v>1</v>
      </c>
      <c r="C259">
        <f>IF(B259&gt;0, MAX($C$2:C258)+1, "")</f>
        <v>257</v>
      </c>
      <c r="D259" t="str">
        <f t="shared" si="3"/>
        <v/>
      </c>
    </row>
    <row r="260" spans="1:4">
      <c r="A260" s="42" t="s">
        <v>322</v>
      </c>
      <c r="B260">
        <f>IFERROR(FIND('Simulador IR 2025'!$I$29, A260), 0)</f>
        <v>1</v>
      </c>
      <c r="C260">
        <f>IF(B260&gt;0, MAX($C$2:C259)+1, "")</f>
        <v>258</v>
      </c>
      <c r="D260" t="str">
        <f t="shared" ref="D260:D323" si="4">IFERROR(VLOOKUP(ROW(A258), $A$3:$C$2681, -2, FALSE), "")</f>
        <v/>
      </c>
    </row>
    <row r="261" spans="1:4">
      <c r="A261" s="42" t="s">
        <v>323</v>
      </c>
      <c r="B261">
        <f>IFERROR(FIND('Simulador IR 2025'!$I$29, A261), 0)</f>
        <v>1</v>
      </c>
      <c r="C261">
        <f>IF(B261&gt;0, MAX($C$2:C260)+1, "")</f>
        <v>259</v>
      </c>
      <c r="D261" t="str">
        <f t="shared" si="4"/>
        <v/>
      </c>
    </row>
    <row r="262" spans="1:4">
      <c r="A262" s="42" t="s">
        <v>324</v>
      </c>
      <c r="B262">
        <f>IFERROR(FIND('Simulador IR 2025'!$I$29, A262), 0)</f>
        <v>1</v>
      </c>
      <c r="C262">
        <f>IF(B262&gt;0, MAX($C$2:C261)+1, "")</f>
        <v>260</v>
      </c>
      <c r="D262" t="str">
        <f t="shared" si="4"/>
        <v/>
      </c>
    </row>
    <row r="263" spans="1:4">
      <c r="A263" s="42" t="s">
        <v>325</v>
      </c>
      <c r="B263">
        <f>IFERROR(FIND('Simulador IR 2025'!$I$29, A263), 0)</f>
        <v>1</v>
      </c>
      <c r="C263">
        <f>IF(B263&gt;0, MAX($C$2:C262)+1, "")</f>
        <v>261</v>
      </c>
      <c r="D263" t="str">
        <f t="shared" si="4"/>
        <v/>
      </c>
    </row>
    <row r="264" spans="1:4">
      <c r="A264" s="42" t="s">
        <v>326</v>
      </c>
      <c r="B264">
        <f>IFERROR(FIND('Simulador IR 2025'!$I$29, A264), 0)</f>
        <v>1</v>
      </c>
      <c r="C264">
        <f>IF(B264&gt;0, MAX($C$2:C263)+1, "")</f>
        <v>262</v>
      </c>
      <c r="D264" t="str">
        <f t="shared" si="4"/>
        <v/>
      </c>
    </row>
    <row r="265" spans="1:4">
      <c r="A265" s="42" t="s">
        <v>327</v>
      </c>
      <c r="B265">
        <f>IFERROR(FIND('Simulador IR 2025'!$I$29, A265), 0)</f>
        <v>1</v>
      </c>
      <c r="C265">
        <f>IF(B265&gt;0, MAX($C$2:C264)+1, "")</f>
        <v>263</v>
      </c>
      <c r="D265" t="str">
        <f t="shared" si="4"/>
        <v/>
      </c>
    </row>
    <row r="266" spans="1:4">
      <c r="A266" s="42" t="s">
        <v>328</v>
      </c>
      <c r="B266">
        <f>IFERROR(FIND('Simulador IR 2025'!$I$29, A266), 0)</f>
        <v>1</v>
      </c>
      <c r="C266">
        <f>IF(B266&gt;0, MAX($C$2:C265)+1, "")</f>
        <v>264</v>
      </c>
      <c r="D266" t="str">
        <f t="shared" si="4"/>
        <v/>
      </c>
    </row>
    <row r="267" spans="1:4">
      <c r="A267" s="42" t="s">
        <v>329</v>
      </c>
      <c r="B267">
        <f>IFERROR(FIND('Simulador IR 2025'!$I$29, A267), 0)</f>
        <v>1</v>
      </c>
      <c r="C267">
        <f>IF(B267&gt;0, MAX($C$2:C266)+1, "")</f>
        <v>265</v>
      </c>
      <c r="D267" t="str">
        <f t="shared" si="4"/>
        <v/>
      </c>
    </row>
    <row r="268" spans="1:4">
      <c r="A268" s="42" t="s">
        <v>330</v>
      </c>
      <c r="B268">
        <f>IFERROR(FIND('Simulador IR 2025'!$I$29, A268), 0)</f>
        <v>1</v>
      </c>
      <c r="C268">
        <f>IF(B268&gt;0, MAX($C$2:C267)+1, "")</f>
        <v>266</v>
      </c>
      <c r="D268" t="str">
        <f t="shared" si="4"/>
        <v/>
      </c>
    </row>
    <row r="269" spans="1:4">
      <c r="A269" s="42" t="s">
        <v>331</v>
      </c>
      <c r="B269">
        <f>IFERROR(FIND('Simulador IR 2025'!$I$29, A269), 0)</f>
        <v>1</v>
      </c>
      <c r="C269">
        <f>IF(B269&gt;0, MAX($C$2:C268)+1, "")</f>
        <v>267</v>
      </c>
      <c r="D269" t="str">
        <f t="shared" si="4"/>
        <v/>
      </c>
    </row>
    <row r="270" spans="1:4">
      <c r="A270" s="42" t="s">
        <v>332</v>
      </c>
      <c r="B270">
        <f>IFERROR(FIND('Simulador IR 2025'!$I$29, A270), 0)</f>
        <v>1</v>
      </c>
      <c r="C270">
        <f>IF(B270&gt;0, MAX($C$2:C269)+1, "")</f>
        <v>268</v>
      </c>
      <c r="D270" t="str">
        <f t="shared" si="4"/>
        <v/>
      </c>
    </row>
    <row r="271" spans="1:4">
      <c r="A271" s="42" t="s">
        <v>333</v>
      </c>
      <c r="B271">
        <f>IFERROR(FIND('Simulador IR 2025'!$I$29, A271), 0)</f>
        <v>1</v>
      </c>
      <c r="C271">
        <f>IF(B271&gt;0, MAX($C$2:C270)+1, "")</f>
        <v>269</v>
      </c>
      <c r="D271" t="str">
        <f t="shared" si="4"/>
        <v/>
      </c>
    </row>
    <row r="272" spans="1:4">
      <c r="A272" s="42" t="s">
        <v>334</v>
      </c>
      <c r="B272">
        <f>IFERROR(FIND('Simulador IR 2025'!$I$29, A272), 0)</f>
        <v>1</v>
      </c>
      <c r="C272">
        <f>IF(B272&gt;0, MAX($C$2:C271)+1, "")</f>
        <v>270</v>
      </c>
      <c r="D272" t="str">
        <f t="shared" si="4"/>
        <v/>
      </c>
    </row>
    <row r="273" spans="1:4">
      <c r="A273" s="42" t="s">
        <v>335</v>
      </c>
      <c r="B273">
        <f>IFERROR(FIND('Simulador IR 2025'!$I$29, A273), 0)</f>
        <v>1</v>
      </c>
      <c r="C273">
        <f>IF(B273&gt;0, MAX($C$2:C272)+1, "")</f>
        <v>271</v>
      </c>
      <c r="D273" t="str">
        <f t="shared" si="4"/>
        <v/>
      </c>
    </row>
    <row r="274" spans="1:4">
      <c r="A274" s="42" t="s">
        <v>336</v>
      </c>
      <c r="B274">
        <f>IFERROR(FIND('Simulador IR 2025'!$I$29, A274), 0)</f>
        <v>1</v>
      </c>
      <c r="C274">
        <f>IF(B274&gt;0, MAX($C$2:C273)+1, "")</f>
        <v>272</v>
      </c>
      <c r="D274" t="str">
        <f t="shared" si="4"/>
        <v/>
      </c>
    </row>
    <row r="275" spans="1:4">
      <c r="A275" s="42" t="s">
        <v>337</v>
      </c>
      <c r="B275">
        <f>IFERROR(FIND('Simulador IR 2025'!$I$29, A275), 0)</f>
        <v>1</v>
      </c>
      <c r="C275">
        <f>IF(B275&gt;0, MAX($C$2:C274)+1, "")</f>
        <v>273</v>
      </c>
      <c r="D275" t="str">
        <f t="shared" si="4"/>
        <v/>
      </c>
    </row>
    <row r="276" spans="1:4">
      <c r="A276" s="42" t="s">
        <v>338</v>
      </c>
      <c r="B276">
        <f>IFERROR(FIND('Simulador IR 2025'!$I$29, A276), 0)</f>
        <v>1</v>
      </c>
      <c r="C276">
        <f>IF(B276&gt;0, MAX($C$2:C275)+1, "")</f>
        <v>274</v>
      </c>
      <c r="D276" t="str">
        <f t="shared" si="4"/>
        <v/>
      </c>
    </row>
    <row r="277" spans="1:4">
      <c r="A277" s="42" t="s">
        <v>339</v>
      </c>
      <c r="B277">
        <f>IFERROR(FIND('Simulador IR 2025'!$I$29, A277), 0)</f>
        <v>1</v>
      </c>
      <c r="C277">
        <f>IF(B277&gt;0, MAX($C$2:C276)+1, "")</f>
        <v>275</v>
      </c>
      <c r="D277" t="str">
        <f t="shared" si="4"/>
        <v/>
      </c>
    </row>
    <row r="278" spans="1:4">
      <c r="A278" s="42" t="s">
        <v>340</v>
      </c>
      <c r="B278">
        <f>IFERROR(FIND('Simulador IR 2025'!$I$29, A278), 0)</f>
        <v>1</v>
      </c>
      <c r="C278">
        <f>IF(B278&gt;0, MAX($C$2:C277)+1, "")</f>
        <v>276</v>
      </c>
      <c r="D278" t="str">
        <f t="shared" si="4"/>
        <v/>
      </c>
    </row>
    <row r="279" spans="1:4">
      <c r="A279" s="42" t="s">
        <v>341</v>
      </c>
      <c r="B279">
        <f>IFERROR(FIND('Simulador IR 2025'!$I$29, A279), 0)</f>
        <v>1</v>
      </c>
      <c r="C279">
        <f>IF(B279&gt;0, MAX($C$2:C278)+1, "")</f>
        <v>277</v>
      </c>
      <c r="D279" t="str">
        <f t="shared" si="4"/>
        <v/>
      </c>
    </row>
    <row r="280" spans="1:4">
      <c r="A280" s="42" t="s">
        <v>342</v>
      </c>
      <c r="B280">
        <f>IFERROR(FIND('Simulador IR 2025'!$I$29, A280), 0)</f>
        <v>1</v>
      </c>
      <c r="C280">
        <f>IF(B280&gt;0, MAX($C$2:C279)+1, "")</f>
        <v>278</v>
      </c>
      <c r="D280" t="str">
        <f t="shared" si="4"/>
        <v/>
      </c>
    </row>
    <row r="281" spans="1:4">
      <c r="A281" s="42" t="s">
        <v>343</v>
      </c>
      <c r="B281">
        <f>IFERROR(FIND('Simulador IR 2025'!$I$29, A281), 0)</f>
        <v>1</v>
      </c>
      <c r="C281">
        <f>IF(B281&gt;0, MAX($C$2:C280)+1, "")</f>
        <v>279</v>
      </c>
      <c r="D281" t="str">
        <f t="shared" si="4"/>
        <v/>
      </c>
    </row>
    <row r="282" spans="1:4">
      <c r="A282" s="42" t="s">
        <v>344</v>
      </c>
      <c r="B282">
        <f>IFERROR(FIND('Simulador IR 2025'!$I$29, A282), 0)</f>
        <v>1</v>
      </c>
      <c r="C282">
        <f>IF(B282&gt;0, MAX($C$2:C281)+1, "")</f>
        <v>280</v>
      </c>
      <c r="D282" t="str">
        <f t="shared" si="4"/>
        <v/>
      </c>
    </row>
    <row r="283" spans="1:4">
      <c r="A283" s="42" t="s">
        <v>345</v>
      </c>
      <c r="B283">
        <f>IFERROR(FIND('Simulador IR 2025'!$I$29, A283), 0)</f>
        <v>1</v>
      </c>
      <c r="C283">
        <f>IF(B283&gt;0, MAX($C$2:C282)+1, "")</f>
        <v>281</v>
      </c>
      <c r="D283" t="str">
        <f t="shared" si="4"/>
        <v/>
      </c>
    </row>
    <row r="284" spans="1:4">
      <c r="A284" s="42" t="s">
        <v>346</v>
      </c>
      <c r="B284">
        <f>IFERROR(FIND('Simulador IR 2025'!$I$29, A284), 0)</f>
        <v>1</v>
      </c>
      <c r="C284">
        <f>IF(B284&gt;0, MAX($C$2:C283)+1, "")</f>
        <v>282</v>
      </c>
      <c r="D284" t="str">
        <f t="shared" si="4"/>
        <v/>
      </c>
    </row>
    <row r="285" spans="1:4">
      <c r="A285" s="42" t="s">
        <v>347</v>
      </c>
      <c r="B285">
        <f>IFERROR(FIND('Simulador IR 2025'!$I$29, A285), 0)</f>
        <v>1</v>
      </c>
      <c r="C285">
        <f>IF(B285&gt;0, MAX($C$2:C284)+1, "")</f>
        <v>283</v>
      </c>
      <c r="D285" t="str">
        <f t="shared" si="4"/>
        <v/>
      </c>
    </row>
    <row r="286" spans="1:4">
      <c r="A286" s="42" t="s">
        <v>348</v>
      </c>
      <c r="B286">
        <f>IFERROR(FIND('Simulador IR 2025'!$I$29, A286), 0)</f>
        <v>1</v>
      </c>
      <c r="C286">
        <f>IF(B286&gt;0, MAX($C$2:C285)+1, "")</f>
        <v>284</v>
      </c>
      <c r="D286" t="str">
        <f t="shared" si="4"/>
        <v/>
      </c>
    </row>
    <row r="287" spans="1:4">
      <c r="A287" s="42" t="s">
        <v>349</v>
      </c>
      <c r="B287">
        <f>IFERROR(FIND('Simulador IR 2025'!$I$29, A287), 0)</f>
        <v>1</v>
      </c>
      <c r="C287">
        <f>IF(B287&gt;0, MAX($C$2:C286)+1, "")</f>
        <v>285</v>
      </c>
      <c r="D287" t="str">
        <f t="shared" si="4"/>
        <v/>
      </c>
    </row>
    <row r="288" spans="1:4">
      <c r="A288" s="42" t="s">
        <v>350</v>
      </c>
      <c r="B288">
        <f>IFERROR(FIND('Simulador IR 2025'!$I$29, A288), 0)</f>
        <v>1</v>
      </c>
      <c r="C288">
        <f>IF(B288&gt;0, MAX($C$2:C287)+1, "")</f>
        <v>286</v>
      </c>
      <c r="D288" t="str">
        <f t="shared" si="4"/>
        <v/>
      </c>
    </row>
    <row r="289" spans="1:4">
      <c r="A289" s="42" t="s">
        <v>351</v>
      </c>
      <c r="B289">
        <f>IFERROR(FIND('Simulador IR 2025'!$I$29, A289), 0)</f>
        <v>1</v>
      </c>
      <c r="C289">
        <f>IF(B289&gt;0, MAX($C$2:C288)+1, "")</f>
        <v>287</v>
      </c>
      <c r="D289" t="str">
        <f t="shared" si="4"/>
        <v/>
      </c>
    </row>
    <row r="290" spans="1:4">
      <c r="A290" s="42" t="s">
        <v>352</v>
      </c>
      <c r="B290">
        <f>IFERROR(FIND('Simulador IR 2025'!$I$29, A290), 0)</f>
        <v>1</v>
      </c>
      <c r="C290">
        <f>IF(B290&gt;0, MAX($C$2:C289)+1, "")</f>
        <v>288</v>
      </c>
      <c r="D290" t="str">
        <f t="shared" si="4"/>
        <v/>
      </c>
    </row>
    <row r="291" spans="1:4">
      <c r="A291" s="42" t="s">
        <v>353</v>
      </c>
      <c r="B291">
        <f>IFERROR(FIND('Simulador IR 2025'!$I$29, A291), 0)</f>
        <v>1</v>
      </c>
      <c r="C291">
        <f>IF(B291&gt;0, MAX($C$2:C290)+1, "")</f>
        <v>289</v>
      </c>
      <c r="D291" t="str">
        <f t="shared" si="4"/>
        <v/>
      </c>
    </row>
    <row r="292" spans="1:4">
      <c r="A292" s="42" t="s">
        <v>354</v>
      </c>
      <c r="B292">
        <f>IFERROR(FIND('Simulador IR 2025'!$I$29, A292), 0)</f>
        <v>1</v>
      </c>
      <c r="C292">
        <f>IF(B292&gt;0, MAX($C$2:C291)+1, "")</f>
        <v>290</v>
      </c>
      <c r="D292" t="str">
        <f t="shared" si="4"/>
        <v/>
      </c>
    </row>
    <row r="293" spans="1:4">
      <c r="A293" s="42" t="s">
        <v>355</v>
      </c>
      <c r="B293">
        <f>IFERROR(FIND('Simulador IR 2025'!$I$29, A293), 0)</f>
        <v>1</v>
      </c>
      <c r="C293">
        <f>IF(B293&gt;0, MAX($C$2:C292)+1, "")</f>
        <v>291</v>
      </c>
      <c r="D293" t="str">
        <f t="shared" si="4"/>
        <v/>
      </c>
    </row>
    <row r="294" spans="1:4">
      <c r="A294" s="42" t="s">
        <v>356</v>
      </c>
      <c r="B294">
        <f>IFERROR(FIND('Simulador IR 2025'!$I$29, A294), 0)</f>
        <v>1</v>
      </c>
      <c r="C294">
        <f>IF(B294&gt;0, MAX($C$2:C293)+1, "")</f>
        <v>292</v>
      </c>
      <c r="D294" t="str">
        <f t="shared" si="4"/>
        <v/>
      </c>
    </row>
    <row r="295" spans="1:4">
      <c r="A295" s="42" t="s">
        <v>357</v>
      </c>
      <c r="B295">
        <f>IFERROR(FIND('Simulador IR 2025'!$I$29, A295), 0)</f>
        <v>1</v>
      </c>
      <c r="C295">
        <f>IF(B295&gt;0, MAX($C$2:C294)+1, "")</f>
        <v>293</v>
      </c>
      <c r="D295" t="str">
        <f t="shared" si="4"/>
        <v/>
      </c>
    </row>
    <row r="296" spans="1:4">
      <c r="A296" s="42" t="s">
        <v>358</v>
      </c>
      <c r="B296">
        <f>IFERROR(FIND('Simulador IR 2025'!$I$29, A296), 0)</f>
        <v>1</v>
      </c>
      <c r="C296">
        <f>IF(B296&gt;0, MAX($C$2:C295)+1, "")</f>
        <v>294</v>
      </c>
      <c r="D296" t="str">
        <f t="shared" si="4"/>
        <v/>
      </c>
    </row>
    <row r="297" spans="1:4">
      <c r="A297" s="42" t="s">
        <v>359</v>
      </c>
      <c r="B297">
        <f>IFERROR(FIND('Simulador IR 2025'!$I$29, A297), 0)</f>
        <v>1</v>
      </c>
      <c r="C297">
        <f>IF(B297&gt;0, MAX($C$2:C296)+1, "")</f>
        <v>295</v>
      </c>
      <c r="D297" t="str">
        <f t="shared" si="4"/>
        <v/>
      </c>
    </row>
    <row r="298" spans="1:4">
      <c r="A298" s="42" t="s">
        <v>360</v>
      </c>
      <c r="B298">
        <f>IFERROR(FIND('Simulador IR 2025'!$I$29, A298), 0)</f>
        <v>1</v>
      </c>
      <c r="C298">
        <f>IF(B298&gt;0, MAX($C$2:C297)+1, "")</f>
        <v>296</v>
      </c>
      <c r="D298" t="str">
        <f t="shared" si="4"/>
        <v/>
      </c>
    </row>
    <row r="299" spans="1:4">
      <c r="A299" s="42" t="s">
        <v>361</v>
      </c>
      <c r="B299">
        <f>IFERROR(FIND('Simulador IR 2025'!$I$29, A299), 0)</f>
        <v>1</v>
      </c>
      <c r="C299">
        <f>IF(B299&gt;0, MAX($C$2:C298)+1, "")</f>
        <v>297</v>
      </c>
      <c r="D299" t="str">
        <f t="shared" si="4"/>
        <v/>
      </c>
    </row>
    <row r="300" spans="1:4">
      <c r="A300" s="42" t="s">
        <v>362</v>
      </c>
      <c r="B300">
        <f>IFERROR(FIND('Simulador IR 2025'!$I$29, A300), 0)</f>
        <v>1</v>
      </c>
      <c r="C300">
        <f>IF(B300&gt;0, MAX($C$2:C299)+1, "")</f>
        <v>298</v>
      </c>
      <c r="D300" t="str">
        <f t="shared" si="4"/>
        <v/>
      </c>
    </row>
    <row r="301" spans="1:4">
      <c r="A301" s="42" t="s">
        <v>363</v>
      </c>
      <c r="B301">
        <f>IFERROR(FIND('Simulador IR 2025'!$I$29, A301), 0)</f>
        <v>1</v>
      </c>
      <c r="C301">
        <f>IF(B301&gt;0, MAX($C$2:C300)+1, "")</f>
        <v>299</v>
      </c>
      <c r="D301" t="str">
        <f t="shared" si="4"/>
        <v/>
      </c>
    </row>
    <row r="302" spans="1:4">
      <c r="A302" s="42" t="s">
        <v>364</v>
      </c>
      <c r="B302">
        <f>IFERROR(FIND('Simulador IR 2025'!$I$29, A302), 0)</f>
        <v>1</v>
      </c>
      <c r="C302">
        <f>IF(B302&gt;0, MAX($C$2:C301)+1, "")</f>
        <v>300</v>
      </c>
      <c r="D302" t="str">
        <f t="shared" si="4"/>
        <v/>
      </c>
    </row>
    <row r="303" spans="1:4">
      <c r="A303" s="42" t="s">
        <v>365</v>
      </c>
      <c r="B303">
        <f>IFERROR(FIND('Simulador IR 2025'!$I$29, A303), 0)</f>
        <v>1</v>
      </c>
      <c r="C303">
        <f>IF(B303&gt;0, MAX($C$2:C302)+1, "")</f>
        <v>301</v>
      </c>
      <c r="D303" t="str">
        <f t="shared" si="4"/>
        <v/>
      </c>
    </row>
    <row r="304" spans="1:4">
      <c r="A304" s="42" t="s">
        <v>366</v>
      </c>
      <c r="B304">
        <f>IFERROR(FIND('Simulador IR 2025'!$I$29, A304), 0)</f>
        <v>1</v>
      </c>
      <c r="C304">
        <f>IF(B304&gt;0, MAX($C$2:C303)+1, "")</f>
        <v>302</v>
      </c>
      <c r="D304" t="str">
        <f t="shared" si="4"/>
        <v/>
      </c>
    </row>
    <row r="305" spans="1:4">
      <c r="A305" s="42" t="s">
        <v>367</v>
      </c>
      <c r="B305">
        <f>IFERROR(FIND('Simulador IR 2025'!$I$29, A305), 0)</f>
        <v>1</v>
      </c>
      <c r="C305">
        <f>IF(B305&gt;0, MAX($C$2:C304)+1, "")</f>
        <v>303</v>
      </c>
      <c r="D305" t="str">
        <f t="shared" si="4"/>
        <v/>
      </c>
    </row>
    <row r="306" spans="1:4">
      <c r="A306" s="42" t="s">
        <v>368</v>
      </c>
      <c r="B306">
        <f>IFERROR(FIND('Simulador IR 2025'!$I$29, A306), 0)</f>
        <v>1</v>
      </c>
      <c r="C306">
        <f>IF(B306&gt;0, MAX($C$2:C305)+1, "")</f>
        <v>304</v>
      </c>
      <c r="D306" t="str">
        <f t="shared" si="4"/>
        <v/>
      </c>
    </row>
    <row r="307" spans="1:4">
      <c r="A307" s="42" t="s">
        <v>369</v>
      </c>
      <c r="B307">
        <f>IFERROR(FIND('Simulador IR 2025'!$I$29, A307), 0)</f>
        <v>1</v>
      </c>
      <c r="C307">
        <f>IF(B307&gt;0, MAX($C$2:C306)+1, "")</f>
        <v>305</v>
      </c>
      <c r="D307" t="str">
        <f t="shared" si="4"/>
        <v/>
      </c>
    </row>
    <row r="308" spans="1:4">
      <c r="A308" s="42" t="s">
        <v>370</v>
      </c>
      <c r="B308">
        <f>IFERROR(FIND('Simulador IR 2025'!$I$29, A308), 0)</f>
        <v>1</v>
      </c>
      <c r="C308">
        <f>IF(B308&gt;0, MAX($C$2:C307)+1, "")</f>
        <v>306</v>
      </c>
      <c r="D308" t="str">
        <f t="shared" si="4"/>
        <v/>
      </c>
    </row>
    <row r="309" spans="1:4">
      <c r="A309" s="42" t="s">
        <v>371</v>
      </c>
      <c r="B309">
        <f>IFERROR(FIND('Simulador IR 2025'!$I$29, A309), 0)</f>
        <v>1</v>
      </c>
      <c r="C309">
        <f>IF(B309&gt;0, MAX($C$2:C308)+1, "")</f>
        <v>307</v>
      </c>
      <c r="D309" t="str">
        <f t="shared" si="4"/>
        <v/>
      </c>
    </row>
    <row r="310" spans="1:4">
      <c r="A310" s="42" t="s">
        <v>372</v>
      </c>
      <c r="B310">
        <f>IFERROR(FIND('Simulador IR 2025'!$I$29, A310), 0)</f>
        <v>1</v>
      </c>
      <c r="C310">
        <f>IF(B310&gt;0, MAX($C$2:C309)+1, "")</f>
        <v>308</v>
      </c>
      <c r="D310" t="str">
        <f t="shared" si="4"/>
        <v/>
      </c>
    </row>
    <row r="311" spans="1:4">
      <c r="A311" s="42" t="s">
        <v>373</v>
      </c>
      <c r="B311">
        <f>IFERROR(FIND('Simulador IR 2025'!$I$29, A311), 0)</f>
        <v>1</v>
      </c>
      <c r="C311">
        <f>IF(B311&gt;0, MAX($C$2:C310)+1, "")</f>
        <v>309</v>
      </c>
      <c r="D311" t="str">
        <f t="shared" si="4"/>
        <v/>
      </c>
    </row>
    <row r="312" spans="1:4">
      <c r="A312" s="42" t="s">
        <v>374</v>
      </c>
      <c r="B312">
        <f>IFERROR(FIND('Simulador IR 2025'!$I$29, A312), 0)</f>
        <v>1</v>
      </c>
      <c r="C312">
        <f>IF(B312&gt;0, MAX($C$2:C311)+1, "")</f>
        <v>310</v>
      </c>
      <c r="D312" t="str">
        <f t="shared" si="4"/>
        <v/>
      </c>
    </row>
    <row r="313" spans="1:4">
      <c r="A313" s="42" t="s">
        <v>375</v>
      </c>
      <c r="B313">
        <f>IFERROR(FIND('Simulador IR 2025'!$I$29, A313), 0)</f>
        <v>1</v>
      </c>
      <c r="C313">
        <f>IF(B313&gt;0, MAX($C$2:C312)+1, "")</f>
        <v>311</v>
      </c>
      <c r="D313" t="str">
        <f t="shared" si="4"/>
        <v/>
      </c>
    </row>
    <row r="314" spans="1:4">
      <c r="A314" s="42" t="s">
        <v>376</v>
      </c>
      <c r="B314">
        <f>IFERROR(FIND('Simulador IR 2025'!$I$29, A314), 0)</f>
        <v>1</v>
      </c>
      <c r="C314">
        <f>IF(B314&gt;0, MAX($C$2:C313)+1, "")</f>
        <v>312</v>
      </c>
      <c r="D314" t="str">
        <f t="shared" si="4"/>
        <v/>
      </c>
    </row>
    <row r="315" spans="1:4">
      <c r="A315" s="42" t="s">
        <v>377</v>
      </c>
      <c r="B315">
        <f>IFERROR(FIND('Simulador IR 2025'!$I$29, A315), 0)</f>
        <v>1</v>
      </c>
      <c r="C315">
        <f>IF(B315&gt;0, MAX($C$2:C314)+1, "")</f>
        <v>313</v>
      </c>
      <c r="D315" t="str">
        <f t="shared" si="4"/>
        <v/>
      </c>
    </row>
    <row r="316" spans="1:4">
      <c r="A316" s="42" t="s">
        <v>378</v>
      </c>
      <c r="B316">
        <f>IFERROR(FIND('Simulador IR 2025'!$I$29, A316), 0)</f>
        <v>1</v>
      </c>
      <c r="C316">
        <f>IF(B316&gt;0, MAX($C$2:C315)+1, "")</f>
        <v>314</v>
      </c>
      <c r="D316" t="str">
        <f t="shared" si="4"/>
        <v/>
      </c>
    </row>
    <row r="317" spans="1:4">
      <c r="A317" s="42" t="s">
        <v>379</v>
      </c>
      <c r="B317">
        <f>IFERROR(FIND('Simulador IR 2025'!$I$29, A317), 0)</f>
        <v>1</v>
      </c>
      <c r="C317">
        <f>IF(B317&gt;0, MAX($C$2:C316)+1, "")</f>
        <v>315</v>
      </c>
      <c r="D317" t="str">
        <f t="shared" si="4"/>
        <v/>
      </c>
    </row>
    <row r="318" spans="1:4">
      <c r="A318" s="42" t="s">
        <v>380</v>
      </c>
      <c r="B318">
        <f>IFERROR(FIND('Simulador IR 2025'!$I$29, A318), 0)</f>
        <v>1</v>
      </c>
      <c r="C318">
        <f>IF(B318&gt;0, MAX($C$2:C317)+1, "")</f>
        <v>316</v>
      </c>
      <c r="D318" t="str">
        <f t="shared" si="4"/>
        <v/>
      </c>
    </row>
    <row r="319" spans="1:4">
      <c r="A319" s="42" t="s">
        <v>381</v>
      </c>
      <c r="B319">
        <f>IFERROR(FIND('Simulador IR 2025'!$I$29, A319), 0)</f>
        <v>1</v>
      </c>
      <c r="C319">
        <f>IF(B319&gt;0, MAX($C$2:C318)+1, "")</f>
        <v>317</v>
      </c>
      <c r="D319" t="str">
        <f t="shared" si="4"/>
        <v/>
      </c>
    </row>
    <row r="320" spans="1:4">
      <c r="A320" s="42" t="s">
        <v>382</v>
      </c>
      <c r="B320">
        <f>IFERROR(FIND('Simulador IR 2025'!$I$29, A320), 0)</f>
        <v>1</v>
      </c>
      <c r="C320">
        <f>IF(B320&gt;0, MAX($C$2:C319)+1, "")</f>
        <v>318</v>
      </c>
      <c r="D320" t="str">
        <f t="shared" si="4"/>
        <v/>
      </c>
    </row>
    <row r="321" spans="1:4">
      <c r="A321" s="42" t="s">
        <v>383</v>
      </c>
      <c r="B321">
        <f>IFERROR(FIND('Simulador IR 2025'!$I$29, A321), 0)</f>
        <v>1</v>
      </c>
      <c r="C321">
        <f>IF(B321&gt;0, MAX($C$2:C320)+1, "")</f>
        <v>319</v>
      </c>
      <c r="D321" t="str">
        <f t="shared" si="4"/>
        <v/>
      </c>
    </row>
    <row r="322" spans="1:4">
      <c r="A322" s="42" t="s">
        <v>384</v>
      </c>
      <c r="B322">
        <f>IFERROR(FIND('Simulador IR 2025'!$I$29, A322), 0)</f>
        <v>1</v>
      </c>
      <c r="C322">
        <f>IF(B322&gt;0, MAX($C$2:C321)+1, "")</f>
        <v>320</v>
      </c>
      <c r="D322" t="str">
        <f t="shared" si="4"/>
        <v/>
      </c>
    </row>
    <row r="323" spans="1:4">
      <c r="A323" s="42" t="s">
        <v>385</v>
      </c>
      <c r="B323">
        <f>IFERROR(FIND('Simulador IR 2025'!$I$29, A323), 0)</f>
        <v>1</v>
      </c>
      <c r="C323">
        <f>IF(B323&gt;0, MAX($C$2:C322)+1, "")</f>
        <v>321</v>
      </c>
      <c r="D323" t="str">
        <f t="shared" si="4"/>
        <v/>
      </c>
    </row>
    <row r="324" spans="1:4">
      <c r="A324" s="42" t="s">
        <v>386</v>
      </c>
      <c r="B324">
        <f>IFERROR(FIND('Simulador IR 2025'!$I$29, A324), 0)</f>
        <v>1</v>
      </c>
      <c r="C324">
        <f>IF(B324&gt;0, MAX($C$2:C323)+1, "")</f>
        <v>322</v>
      </c>
      <c r="D324" t="str">
        <f t="shared" ref="D324:D387" si="5">IFERROR(VLOOKUP(ROW(A322), $A$3:$C$2681, -2, FALSE), "")</f>
        <v/>
      </c>
    </row>
    <row r="325" spans="1:4">
      <c r="A325" s="42" t="s">
        <v>387</v>
      </c>
      <c r="B325">
        <f>IFERROR(FIND('Simulador IR 2025'!$I$29, A325), 0)</f>
        <v>1</v>
      </c>
      <c r="C325">
        <f>IF(B325&gt;0, MAX($C$2:C324)+1, "")</f>
        <v>323</v>
      </c>
      <c r="D325" t="str">
        <f t="shared" si="5"/>
        <v/>
      </c>
    </row>
    <row r="326" spans="1:4">
      <c r="A326" s="42" t="s">
        <v>388</v>
      </c>
      <c r="B326">
        <f>IFERROR(FIND('Simulador IR 2025'!$I$29, A326), 0)</f>
        <v>1</v>
      </c>
      <c r="C326">
        <f>IF(B326&gt;0, MAX($C$2:C325)+1, "")</f>
        <v>324</v>
      </c>
      <c r="D326" t="str">
        <f t="shared" si="5"/>
        <v/>
      </c>
    </row>
    <row r="327" spans="1:4">
      <c r="A327" s="42" t="s">
        <v>389</v>
      </c>
      <c r="B327">
        <f>IFERROR(FIND('Simulador IR 2025'!$I$29, A327), 0)</f>
        <v>1</v>
      </c>
      <c r="C327">
        <f>IF(B327&gt;0, MAX($C$2:C326)+1, "")</f>
        <v>325</v>
      </c>
      <c r="D327" t="str">
        <f t="shared" si="5"/>
        <v/>
      </c>
    </row>
    <row r="328" spans="1:4">
      <c r="A328" s="42" t="s">
        <v>390</v>
      </c>
      <c r="B328">
        <f>IFERROR(FIND('Simulador IR 2025'!$I$29, A328), 0)</f>
        <v>1</v>
      </c>
      <c r="C328">
        <f>IF(B328&gt;0, MAX($C$2:C327)+1, "")</f>
        <v>326</v>
      </c>
      <c r="D328" t="str">
        <f t="shared" si="5"/>
        <v/>
      </c>
    </row>
    <row r="329" spans="1:4">
      <c r="A329" s="42" t="s">
        <v>391</v>
      </c>
      <c r="B329">
        <f>IFERROR(FIND('Simulador IR 2025'!$I$29, A329), 0)</f>
        <v>1</v>
      </c>
      <c r="C329">
        <f>IF(B329&gt;0, MAX($C$2:C328)+1, "")</f>
        <v>327</v>
      </c>
      <c r="D329" t="str">
        <f t="shared" si="5"/>
        <v/>
      </c>
    </row>
    <row r="330" spans="1:4">
      <c r="A330" s="42" t="s">
        <v>392</v>
      </c>
      <c r="B330">
        <f>IFERROR(FIND('Simulador IR 2025'!$I$29, A330), 0)</f>
        <v>1</v>
      </c>
      <c r="C330">
        <f>IF(B330&gt;0, MAX($C$2:C329)+1, "")</f>
        <v>328</v>
      </c>
      <c r="D330" t="str">
        <f t="shared" si="5"/>
        <v/>
      </c>
    </row>
    <row r="331" spans="1:4">
      <c r="A331" s="42" t="s">
        <v>393</v>
      </c>
      <c r="B331">
        <f>IFERROR(FIND('Simulador IR 2025'!$I$29, A331), 0)</f>
        <v>1</v>
      </c>
      <c r="C331">
        <f>IF(B331&gt;0, MAX($C$2:C330)+1, "")</f>
        <v>329</v>
      </c>
      <c r="D331" t="str">
        <f t="shared" si="5"/>
        <v/>
      </c>
    </row>
    <row r="332" spans="1:4">
      <c r="A332" s="42" t="s">
        <v>394</v>
      </c>
      <c r="B332">
        <f>IFERROR(FIND('Simulador IR 2025'!$I$29, A332), 0)</f>
        <v>1</v>
      </c>
      <c r="C332">
        <f>IF(B332&gt;0, MAX($C$2:C331)+1, "")</f>
        <v>330</v>
      </c>
      <c r="D332" t="str">
        <f t="shared" si="5"/>
        <v/>
      </c>
    </row>
    <row r="333" spans="1:4">
      <c r="A333" s="42" t="s">
        <v>395</v>
      </c>
      <c r="B333">
        <f>IFERROR(FIND('Simulador IR 2025'!$I$29, A333), 0)</f>
        <v>1</v>
      </c>
      <c r="C333">
        <f>IF(B333&gt;0, MAX($C$2:C332)+1, "")</f>
        <v>331</v>
      </c>
      <c r="D333" t="str">
        <f t="shared" si="5"/>
        <v/>
      </c>
    </row>
    <row r="334" spans="1:4">
      <c r="A334" s="42" t="s">
        <v>396</v>
      </c>
      <c r="B334">
        <f>IFERROR(FIND('Simulador IR 2025'!$I$29, A334), 0)</f>
        <v>1</v>
      </c>
      <c r="C334">
        <f>IF(B334&gt;0, MAX($C$2:C333)+1, "")</f>
        <v>332</v>
      </c>
      <c r="D334" t="str">
        <f t="shared" si="5"/>
        <v/>
      </c>
    </row>
    <row r="335" spans="1:4">
      <c r="A335" s="42" t="s">
        <v>397</v>
      </c>
      <c r="B335">
        <f>IFERROR(FIND('Simulador IR 2025'!$I$29, A335), 0)</f>
        <v>1</v>
      </c>
      <c r="C335">
        <f>IF(B335&gt;0, MAX($C$2:C334)+1, "")</f>
        <v>333</v>
      </c>
      <c r="D335" t="str">
        <f t="shared" si="5"/>
        <v/>
      </c>
    </row>
    <row r="336" spans="1:4">
      <c r="A336" s="42" t="s">
        <v>398</v>
      </c>
      <c r="B336">
        <f>IFERROR(FIND('Simulador IR 2025'!$I$29, A336), 0)</f>
        <v>1</v>
      </c>
      <c r="C336">
        <f>IF(B336&gt;0, MAX($C$2:C335)+1, "")</f>
        <v>334</v>
      </c>
      <c r="D336" t="str">
        <f t="shared" si="5"/>
        <v/>
      </c>
    </row>
    <row r="337" spans="1:4">
      <c r="A337" s="42" t="s">
        <v>399</v>
      </c>
      <c r="B337">
        <f>IFERROR(FIND('Simulador IR 2025'!$I$29, A337), 0)</f>
        <v>1</v>
      </c>
      <c r="C337">
        <f>IF(B337&gt;0, MAX($C$2:C336)+1, "")</f>
        <v>335</v>
      </c>
      <c r="D337" t="str">
        <f t="shared" si="5"/>
        <v/>
      </c>
    </row>
    <row r="338" spans="1:4">
      <c r="A338" s="42" t="s">
        <v>400</v>
      </c>
      <c r="B338">
        <f>IFERROR(FIND('Simulador IR 2025'!$I$29, A338), 0)</f>
        <v>1</v>
      </c>
      <c r="C338">
        <f>IF(B338&gt;0, MAX($C$2:C337)+1, "")</f>
        <v>336</v>
      </c>
      <c r="D338" t="str">
        <f t="shared" si="5"/>
        <v/>
      </c>
    </row>
    <row r="339" spans="1:4">
      <c r="A339" s="42" t="s">
        <v>401</v>
      </c>
      <c r="B339">
        <f>IFERROR(FIND('Simulador IR 2025'!$I$29, A339), 0)</f>
        <v>1</v>
      </c>
      <c r="C339">
        <f>IF(B339&gt;0, MAX($C$2:C338)+1, "")</f>
        <v>337</v>
      </c>
      <c r="D339" t="str">
        <f t="shared" si="5"/>
        <v/>
      </c>
    </row>
    <row r="340" spans="1:4">
      <c r="A340" s="42" t="s">
        <v>402</v>
      </c>
      <c r="B340">
        <f>IFERROR(FIND('Simulador IR 2025'!$I$29, A340), 0)</f>
        <v>1</v>
      </c>
      <c r="C340">
        <f>IF(B340&gt;0, MAX($C$2:C339)+1, "")</f>
        <v>338</v>
      </c>
      <c r="D340" t="str">
        <f t="shared" si="5"/>
        <v/>
      </c>
    </row>
    <row r="341" spans="1:4">
      <c r="A341" s="42" t="s">
        <v>403</v>
      </c>
      <c r="B341">
        <f>IFERROR(FIND('Simulador IR 2025'!$I$29, A341), 0)</f>
        <v>1</v>
      </c>
      <c r="C341">
        <f>IF(B341&gt;0, MAX($C$2:C340)+1, "")</f>
        <v>339</v>
      </c>
      <c r="D341" t="str">
        <f t="shared" si="5"/>
        <v/>
      </c>
    </row>
    <row r="342" spans="1:4">
      <c r="A342" s="42" t="s">
        <v>404</v>
      </c>
      <c r="B342">
        <f>IFERROR(FIND('Simulador IR 2025'!$I$29, A342), 0)</f>
        <v>1</v>
      </c>
      <c r="C342">
        <f>IF(B342&gt;0, MAX($C$2:C341)+1, "")</f>
        <v>340</v>
      </c>
      <c r="D342" t="str">
        <f t="shared" si="5"/>
        <v/>
      </c>
    </row>
    <row r="343" spans="1:4">
      <c r="A343" s="42" t="s">
        <v>405</v>
      </c>
      <c r="B343">
        <f>IFERROR(FIND('Simulador IR 2025'!$I$29, A343), 0)</f>
        <v>1</v>
      </c>
      <c r="C343">
        <f>IF(B343&gt;0, MAX($C$2:C342)+1, "")</f>
        <v>341</v>
      </c>
      <c r="D343" t="str">
        <f t="shared" si="5"/>
        <v/>
      </c>
    </row>
    <row r="344" spans="1:4">
      <c r="A344" s="42" t="s">
        <v>406</v>
      </c>
      <c r="B344">
        <f>IFERROR(FIND('Simulador IR 2025'!$I$29, A344), 0)</f>
        <v>1</v>
      </c>
      <c r="C344">
        <f>IF(B344&gt;0, MAX($C$2:C343)+1, "")</f>
        <v>342</v>
      </c>
      <c r="D344" t="str">
        <f t="shared" si="5"/>
        <v/>
      </c>
    </row>
    <row r="345" spans="1:4">
      <c r="A345" s="42" t="s">
        <v>407</v>
      </c>
      <c r="B345">
        <f>IFERROR(FIND('Simulador IR 2025'!$I$29, A345), 0)</f>
        <v>1</v>
      </c>
      <c r="C345">
        <f>IF(B345&gt;0, MAX($C$2:C344)+1, "")</f>
        <v>343</v>
      </c>
      <c r="D345" t="str">
        <f t="shared" si="5"/>
        <v/>
      </c>
    </row>
    <row r="346" spans="1:4">
      <c r="A346" s="42" t="s">
        <v>408</v>
      </c>
      <c r="B346">
        <f>IFERROR(FIND('Simulador IR 2025'!$I$29, A346), 0)</f>
        <v>1</v>
      </c>
      <c r="C346">
        <f>IF(B346&gt;0, MAX($C$2:C345)+1, "")</f>
        <v>344</v>
      </c>
      <c r="D346" t="str">
        <f t="shared" si="5"/>
        <v/>
      </c>
    </row>
    <row r="347" spans="1:4">
      <c r="A347" s="42" t="s">
        <v>409</v>
      </c>
      <c r="B347">
        <f>IFERROR(FIND('Simulador IR 2025'!$I$29, A347), 0)</f>
        <v>1</v>
      </c>
      <c r="C347">
        <f>IF(B347&gt;0, MAX($C$2:C346)+1, "")</f>
        <v>345</v>
      </c>
      <c r="D347" t="str">
        <f t="shared" si="5"/>
        <v/>
      </c>
    </row>
    <row r="348" spans="1:4">
      <c r="A348" s="42" t="s">
        <v>410</v>
      </c>
      <c r="B348">
        <f>IFERROR(FIND('Simulador IR 2025'!$I$29, A348), 0)</f>
        <v>1</v>
      </c>
      <c r="C348">
        <f>IF(B348&gt;0, MAX($C$2:C347)+1, "")</f>
        <v>346</v>
      </c>
      <c r="D348" t="str">
        <f t="shared" si="5"/>
        <v/>
      </c>
    </row>
    <row r="349" spans="1:4">
      <c r="A349" s="42" t="s">
        <v>411</v>
      </c>
      <c r="B349">
        <f>IFERROR(FIND('Simulador IR 2025'!$I$29, A349), 0)</f>
        <v>1</v>
      </c>
      <c r="C349">
        <f>IF(B349&gt;0, MAX($C$2:C348)+1, "")</f>
        <v>347</v>
      </c>
      <c r="D349" t="str">
        <f t="shared" si="5"/>
        <v/>
      </c>
    </row>
    <row r="350" spans="1:4">
      <c r="A350" s="42" t="s">
        <v>412</v>
      </c>
      <c r="B350">
        <f>IFERROR(FIND('Simulador IR 2025'!$I$29, A350), 0)</f>
        <v>1</v>
      </c>
      <c r="C350">
        <f>IF(B350&gt;0, MAX($C$2:C349)+1, "")</f>
        <v>348</v>
      </c>
      <c r="D350" t="str">
        <f t="shared" si="5"/>
        <v/>
      </c>
    </row>
    <row r="351" spans="1:4">
      <c r="A351" s="42" t="s">
        <v>413</v>
      </c>
      <c r="B351">
        <f>IFERROR(FIND('Simulador IR 2025'!$I$29, A351), 0)</f>
        <v>1</v>
      </c>
      <c r="C351">
        <f>IF(B351&gt;0, MAX($C$2:C350)+1, "")</f>
        <v>349</v>
      </c>
      <c r="D351" t="str">
        <f t="shared" si="5"/>
        <v/>
      </c>
    </row>
    <row r="352" spans="1:4">
      <c r="A352" s="42" t="s">
        <v>414</v>
      </c>
      <c r="B352">
        <f>IFERROR(FIND('Simulador IR 2025'!$I$29, A352), 0)</f>
        <v>1</v>
      </c>
      <c r="C352">
        <f>IF(B352&gt;0, MAX($C$2:C351)+1, "")</f>
        <v>350</v>
      </c>
      <c r="D352" t="str">
        <f t="shared" si="5"/>
        <v/>
      </c>
    </row>
    <row r="353" spans="1:4">
      <c r="A353" s="42" t="s">
        <v>415</v>
      </c>
      <c r="B353">
        <f>IFERROR(FIND('Simulador IR 2025'!$I$29, A353), 0)</f>
        <v>1</v>
      </c>
      <c r="C353">
        <f>IF(B353&gt;0, MAX($C$2:C352)+1, "")</f>
        <v>351</v>
      </c>
      <c r="D353" t="str">
        <f t="shared" si="5"/>
        <v/>
      </c>
    </row>
    <row r="354" spans="1:4">
      <c r="A354" s="42" t="s">
        <v>416</v>
      </c>
      <c r="B354">
        <f>IFERROR(FIND('Simulador IR 2025'!$I$29, A354), 0)</f>
        <v>1</v>
      </c>
      <c r="C354">
        <f>IF(B354&gt;0, MAX($C$2:C353)+1, "")</f>
        <v>352</v>
      </c>
      <c r="D354" t="str">
        <f t="shared" si="5"/>
        <v/>
      </c>
    </row>
    <row r="355" spans="1:4">
      <c r="A355" s="42" t="s">
        <v>417</v>
      </c>
      <c r="B355">
        <f>IFERROR(FIND('Simulador IR 2025'!$I$29, A355), 0)</f>
        <v>1</v>
      </c>
      <c r="C355">
        <f>IF(B355&gt;0, MAX($C$2:C354)+1, "")</f>
        <v>353</v>
      </c>
      <c r="D355" t="str">
        <f t="shared" si="5"/>
        <v/>
      </c>
    </row>
    <row r="356" spans="1:4">
      <c r="A356" s="42" t="s">
        <v>418</v>
      </c>
      <c r="B356">
        <f>IFERROR(FIND('Simulador IR 2025'!$I$29, A356), 0)</f>
        <v>1</v>
      </c>
      <c r="C356">
        <f>IF(B356&gt;0, MAX($C$2:C355)+1, "")</f>
        <v>354</v>
      </c>
      <c r="D356" t="str">
        <f t="shared" si="5"/>
        <v/>
      </c>
    </row>
    <row r="357" spans="1:4">
      <c r="A357" s="42" t="s">
        <v>419</v>
      </c>
      <c r="B357">
        <f>IFERROR(FIND('Simulador IR 2025'!$I$29, A357), 0)</f>
        <v>1</v>
      </c>
      <c r="C357">
        <f>IF(B357&gt;0, MAX($C$2:C356)+1, "")</f>
        <v>355</v>
      </c>
      <c r="D357" t="str">
        <f t="shared" si="5"/>
        <v/>
      </c>
    </row>
    <row r="358" spans="1:4">
      <c r="A358" s="42" t="s">
        <v>420</v>
      </c>
      <c r="B358">
        <f>IFERROR(FIND('Simulador IR 2025'!$I$29, A358), 0)</f>
        <v>1</v>
      </c>
      <c r="C358">
        <f>IF(B358&gt;0, MAX($C$2:C357)+1, "")</f>
        <v>356</v>
      </c>
      <c r="D358" t="str">
        <f t="shared" si="5"/>
        <v/>
      </c>
    </row>
    <row r="359" spans="1:4">
      <c r="A359" s="42" t="s">
        <v>421</v>
      </c>
      <c r="B359">
        <f>IFERROR(FIND('Simulador IR 2025'!$I$29, A359), 0)</f>
        <v>1</v>
      </c>
      <c r="C359">
        <f>IF(B359&gt;0, MAX($C$2:C358)+1, "")</f>
        <v>357</v>
      </c>
      <c r="D359" t="str">
        <f t="shared" si="5"/>
        <v/>
      </c>
    </row>
    <row r="360" spans="1:4">
      <c r="A360" s="42" t="s">
        <v>422</v>
      </c>
      <c r="B360">
        <f>IFERROR(FIND('Simulador IR 2025'!$I$29, A360), 0)</f>
        <v>1</v>
      </c>
      <c r="C360">
        <f>IF(B360&gt;0, MAX($C$2:C359)+1, "")</f>
        <v>358</v>
      </c>
      <c r="D360" t="str">
        <f t="shared" si="5"/>
        <v/>
      </c>
    </row>
    <row r="361" spans="1:4">
      <c r="A361" s="42" t="s">
        <v>423</v>
      </c>
      <c r="B361">
        <f>IFERROR(FIND('Simulador IR 2025'!$I$29, A361), 0)</f>
        <v>1</v>
      </c>
      <c r="C361">
        <f>IF(B361&gt;0, MAX($C$2:C360)+1, "")</f>
        <v>359</v>
      </c>
      <c r="D361" t="str">
        <f t="shared" si="5"/>
        <v/>
      </c>
    </row>
    <row r="362" spans="1:4">
      <c r="A362" s="42" t="s">
        <v>424</v>
      </c>
      <c r="B362">
        <f>IFERROR(FIND('Simulador IR 2025'!$I$29, A362), 0)</f>
        <v>1</v>
      </c>
      <c r="C362">
        <f>IF(B362&gt;0, MAX($C$2:C361)+1, "")</f>
        <v>360</v>
      </c>
      <c r="D362" t="str">
        <f t="shared" si="5"/>
        <v/>
      </c>
    </row>
    <row r="363" spans="1:4">
      <c r="A363" s="42" t="s">
        <v>425</v>
      </c>
      <c r="B363">
        <f>IFERROR(FIND('Simulador IR 2025'!$I$29, A363), 0)</f>
        <v>1</v>
      </c>
      <c r="C363">
        <f>IF(B363&gt;0, MAX($C$2:C362)+1, "")</f>
        <v>361</v>
      </c>
      <c r="D363" t="str">
        <f t="shared" si="5"/>
        <v/>
      </c>
    </row>
    <row r="364" spans="1:4">
      <c r="A364" s="42" t="s">
        <v>426</v>
      </c>
      <c r="B364">
        <f>IFERROR(FIND('Simulador IR 2025'!$I$29, A364), 0)</f>
        <v>1</v>
      </c>
      <c r="C364">
        <f>IF(B364&gt;0, MAX($C$2:C363)+1, "")</f>
        <v>362</v>
      </c>
      <c r="D364" t="str">
        <f t="shared" si="5"/>
        <v/>
      </c>
    </row>
    <row r="365" spans="1:4">
      <c r="A365" s="42" t="s">
        <v>427</v>
      </c>
      <c r="B365">
        <f>IFERROR(FIND('Simulador IR 2025'!$I$29, A365), 0)</f>
        <v>1</v>
      </c>
      <c r="C365">
        <f>IF(B365&gt;0, MAX($C$2:C364)+1, "")</f>
        <v>363</v>
      </c>
      <c r="D365" t="str">
        <f t="shared" si="5"/>
        <v/>
      </c>
    </row>
    <row r="366" spans="1:4">
      <c r="A366" s="42" t="s">
        <v>428</v>
      </c>
      <c r="B366">
        <f>IFERROR(FIND('Simulador IR 2025'!$I$29, A366), 0)</f>
        <v>1</v>
      </c>
      <c r="C366">
        <f>IF(B366&gt;0, MAX($C$2:C365)+1, "")</f>
        <v>364</v>
      </c>
      <c r="D366" t="str">
        <f t="shared" si="5"/>
        <v/>
      </c>
    </row>
    <row r="367" spans="1:4">
      <c r="A367" s="42" t="s">
        <v>429</v>
      </c>
      <c r="B367">
        <f>IFERROR(FIND('Simulador IR 2025'!$I$29, A367), 0)</f>
        <v>1</v>
      </c>
      <c r="C367">
        <f>IF(B367&gt;0, MAX($C$2:C366)+1, "")</f>
        <v>365</v>
      </c>
      <c r="D367" t="str">
        <f t="shared" si="5"/>
        <v/>
      </c>
    </row>
    <row r="368" spans="1:4">
      <c r="A368" s="42" t="s">
        <v>430</v>
      </c>
      <c r="B368">
        <f>IFERROR(FIND('Simulador IR 2025'!$I$29, A368), 0)</f>
        <v>1</v>
      </c>
      <c r="C368">
        <f>IF(B368&gt;0, MAX($C$2:C367)+1, "")</f>
        <v>366</v>
      </c>
      <c r="D368" t="str">
        <f t="shared" si="5"/>
        <v/>
      </c>
    </row>
    <row r="369" spans="1:4">
      <c r="A369" s="42" t="s">
        <v>431</v>
      </c>
      <c r="B369">
        <f>IFERROR(FIND('Simulador IR 2025'!$I$29, A369), 0)</f>
        <v>1</v>
      </c>
      <c r="C369">
        <f>IF(B369&gt;0, MAX($C$2:C368)+1, "")</f>
        <v>367</v>
      </c>
      <c r="D369" t="str">
        <f t="shared" si="5"/>
        <v/>
      </c>
    </row>
    <row r="370" spans="1:4">
      <c r="A370" s="42" t="s">
        <v>432</v>
      </c>
      <c r="B370">
        <f>IFERROR(FIND('Simulador IR 2025'!$I$29, A370), 0)</f>
        <v>1</v>
      </c>
      <c r="C370">
        <f>IF(B370&gt;0, MAX($C$2:C369)+1, "")</f>
        <v>368</v>
      </c>
      <c r="D370" t="str">
        <f t="shared" si="5"/>
        <v/>
      </c>
    </row>
    <row r="371" spans="1:4">
      <c r="A371" s="42" t="s">
        <v>433</v>
      </c>
      <c r="B371">
        <f>IFERROR(FIND('Simulador IR 2025'!$I$29, A371), 0)</f>
        <v>1</v>
      </c>
      <c r="C371">
        <f>IF(B371&gt;0, MAX($C$2:C370)+1, "")</f>
        <v>369</v>
      </c>
      <c r="D371" t="str">
        <f t="shared" si="5"/>
        <v/>
      </c>
    </row>
    <row r="372" spans="1:4">
      <c r="A372" s="42" t="s">
        <v>434</v>
      </c>
      <c r="B372">
        <f>IFERROR(FIND('Simulador IR 2025'!$I$29, A372), 0)</f>
        <v>1</v>
      </c>
      <c r="C372">
        <f>IF(B372&gt;0, MAX($C$2:C371)+1, "")</f>
        <v>370</v>
      </c>
      <c r="D372" t="str">
        <f t="shared" si="5"/>
        <v/>
      </c>
    </row>
    <row r="373" spans="1:4">
      <c r="A373" s="42" t="s">
        <v>435</v>
      </c>
      <c r="B373">
        <f>IFERROR(FIND('Simulador IR 2025'!$I$29, A373), 0)</f>
        <v>1</v>
      </c>
      <c r="C373">
        <f>IF(B373&gt;0, MAX($C$2:C372)+1, "")</f>
        <v>371</v>
      </c>
      <c r="D373" t="str">
        <f t="shared" si="5"/>
        <v/>
      </c>
    </row>
    <row r="374" spans="1:4">
      <c r="A374" s="42" t="s">
        <v>436</v>
      </c>
      <c r="B374">
        <f>IFERROR(FIND('Simulador IR 2025'!$I$29, A374), 0)</f>
        <v>1</v>
      </c>
      <c r="C374">
        <f>IF(B374&gt;0, MAX($C$2:C373)+1, "")</f>
        <v>372</v>
      </c>
      <c r="D374" t="str">
        <f t="shared" si="5"/>
        <v/>
      </c>
    </row>
    <row r="375" spans="1:4">
      <c r="A375" s="42" t="s">
        <v>437</v>
      </c>
      <c r="B375">
        <f>IFERROR(FIND('Simulador IR 2025'!$I$29, A375), 0)</f>
        <v>1</v>
      </c>
      <c r="C375">
        <f>IF(B375&gt;0, MAX($C$2:C374)+1, "")</f>
        <v>373</v>
      </c>
      <c r="D375" t="str">
        <f t="shared" si="5"/>
        <v/>
      </c>
    </row>
    <row r="376" spans="1:4">
      <c r="A376" s="42" t="s">
        <v>438</v>
      </c>
      <c r="B376">
        <f>IFERROR(FIND('Simulador IR 2025'!$I$29, A376), 0)</f>
        <v>1</v>
      </c>
      <c r="C376">
        <f>IF(B376&gt;0, MAX($C$2:C375)+1, "")</f>
        <v>374</v>
      </c>
      <c r="D376" t="str">
        <f t="shared" si="5"/>
        <v/>
      </c>
    </row>
    <row r="377" spans="1:4">
      <c r="A377" s="42" t="s">
        <v>439</v>
      </c>
      <c r="B377">
        <f>IFERROR(FIND('Simulador IR 2025'!$I$29, A377), 0)</f>
        <v>1</v>
      </c>
      <c r="C377">
        <f>IF(B377&gt;0, MAX($C$2:C376)+1, "")</f>
        <v>375</v>
      </c>
      <c r="D377" t="str">
        <f t="shared" si="5"/>
        <v/>
      </c>
    </row>
    <row r="378" spans="1:4">
      <c r="A378" s="42" t="s">
        <v>440</v>
      </c>
      <c r="B378">
        <f>IFERROR(FIND('Simulador IR 2025'!$I$29, A378), 0)</f>
        <v>1</v>
      </c>
      <c r="C378">
        <f>IF(B378&gt;0, MAX($C$2:C377)+1, "")</f>
        <v>376</v>
      </c>
      <c r="D378" t="str">
        <f t="shared" si="5"/>
        <v/>
      </c>
    </row>
    <row r="379" spans="1:4">
      <c r="A379" s="42" t="s">
        <v>441</v>
      </c>
      <c r="B379">
        <f>IFERROR(FIND('Simulador IR 2025'!$I$29, A379), 0)</f>
        <v>1</v>
      </c>
      <c r="C379">
        <f>IF(B379&gt;0, MAX($C$2:C378)+1, "")</f>
        <v>377</v>
      </c>
      <c r="D379" t="str">
        <f t="shared" si="5"/>
        <v/>
      </c>
    </row>
    <row r="380" spans="1:4">
      <c r="A380" s="42" t="s">
        <v>442</v>
      </c>
      <c r="B380">
        <f>IFERROR(FIND('Simulador IR 2025'!$I$29, A380), 0)</f>
        <v>1</v>
      </c>
      <c r="C380">
        <f>IF(B380&gt;0, MAX($C$2:C379)+1, "")</f>
        <v>378</v>
      </c>
      <c r="D380" t="str">
        <f t="shared" si="5"/>
        <v/>
      </c>
    </row>
    <row r="381" spans="1:4">
      <c r="A381" s="42" t="s">
        <v>443</v>
      </c>
      <c r="B381">
        <f>IFERROR(FIND('Simulador IR 2025'!$I$29, A381), 0)</f>
        <v>1</v>
      </c>
      <c r="C381">
        <f>IF(B381&gt;0, MAX($C$2:C380)+1, "")</f>
        <v>379</v>
      </c>
      <c r="D381" t="str">
        <f t="shared" si="5"/>
        <v/>
      </c>
    </row>
    <row r="382" spans="1:4">
      <c r="A382" s="42" t="s">
        <v>444</v>
      </c>
      <c r="B382">
        <f>IFERROR(FIND('Simulador IR 2025'!$I$29, A382), 0)</f>
        <v>1</v>
      </c>
      <c r="C382">
        <f>IF(B382&gt;0, MAX($C$2:C381)+1, "")</f>
        <v>380</v>
      </c>
      <c r="D382" t="str">
        <f t="shared" si="5"/>
        <v/>
      </c>
    </row>
    <row r="383" spans="1:4">
      <c r="A383" s="42" t="s">
        <v>445</v>
      </c>
      <c r="B383">
        <f>IFERROR(FIND('Simulador IR 2025'!$I$29, A383), 0)</f>
        <v>1</v>
      </c>
      <c r="C383">
        <f>IF(B383&gt;0, MAX($C$2:C382)+1, "")</f>
        <v>381</v>
      </c>
      <c r="D383" t="str">
        <f t="shared" si="5"/>
        <v/>
      </c>
    </row>
    <row r="384" spans="1:4">
      <c r="A384" s="42" t="s">
        <v>446</v>
      </c>
      <c r="B384">
        <f>IFERROR(FIND('Simulador IR 2025'!$I$29, A384), 0)</f>
        <v>1</v>
      </c>
      <c r="C384">
        <f>IF(B384&gt;0, MAX($C$2:C383)+1, "")</f>
        <v>382</v>
      </c>
      <c r="D384" t="str">
        <f t="shared" si="5"/>
        <v/>
      </c>
    </row>
    <row r="385" spans="1:4">
      <c r="A385" s="42" t="s">
        <v>447</v>
      </c>
      <c r="B385">
        <f>IFERROR(FIND('Simulador IR 2025'!$I$29, A385), 0)</f>
        <v>1</v>
      </c>
      <c r="C385">
        <f>IF(B385&gt;0, MAX($C$2:C384)+1, "")</f>
        <v>383</v>
      </c>
      <c r="D385" t="str">
        <f t="shared" si="5"/>
        <v/>
      </c>
    </row>
    <row r="386" spans="1:4">
      <c r="A386" s="42" t="s">
        <v>448</v>
      </c>
      <c r="B386">
        <f>IFERROR(FIND('Simulador IR 2025'!$I$29, A386), 0)</f>
        <v>1</v>
      </c>
      <c r="C386">
        <f>IF(B386&gt;0, MAX($C$2:C385)+1, "")</f>
        <v>384</v>
      </c>
      <c r="D386" t="str">
        <f t="shared" si="5"/>
        <v/>
      </c>
    </row>
    <row r="387" spans="1:4">
      <c r="A387" s="42" t="s">
        <v>449</v>
      </c>
      <c r="B387">
        <f>IFERROR(FIND('Simulador IR 2025'!$I$29, A387), 0)</f>
        <v>1</v>
      </c>
      <c r="C387">
        <f>IF(B387&gt;0, MAX($C$2:C386)+1, "")</f>
        <v>385</v>
      </c>
      <c r="D387" t="str">
        <f t="shared" si="5"/>
        <v/>
      </c>
    </row>
    <row r="388" spans="1:4">
      <c r="A388" s="42" t="s">
        <v>450</v>
      </c>
      <c r="B388">
        <f>IFERROR(FIND('Simulador IR 2025'!$I$29, A388), 0)</f>
        <v>1</v>
      </c>
      <c r="C388">
        <f>IF(B388&gt;0, MAX($C$2:C387)+1, "")</f>
        <v>386</v>
      </c>
      <c r="D388" t="str">
        <f t="shared" ref="D388:D451" si="6">IFERROR(VLOOKUP(ROW(A386), $A$3:$C$2681, -2, FALSE), "")</f>
        <v/>
      </c>
    </row>
    <row r="389" spans="1:4">
      <c r="A389" s="42" t="s">
        <v>451</v>
      </c>
      <c r="B389">
        <f>IFERROR(FIND('Simulador IR 2025'!$I$29, A389), 0)</f>
        <v>1</v>
      </c>
      <c r="C389">
        <f>IF(B389&gt;0, MAX($C$2:C388)+1, "")</f>
        <v>387</v>
      </c>
      <c r="D389" t="str">
        <f t="shared" si="6"/>
        <v/>
      </c>
    </row>
    <row r="390" spans="1:4">
      <c r="A390" s="42" t="s">
        <v>452</v>
      </c>
      <c r="B390">
        <f>IFERROR(FIND('Simulador IR 2025'!$I$29, A390), 0)</f>
        <v>1</v>
      </c>
      <c r="C390">
        <f>IF(B390&gt;0, MAX($C$2:C389)+1, "")</f>
        <v>388</v>
      </c>
      <c r="D390" t="str">
        <f t="shared" si="6"/>
        <v/>
      </c>
    </row>
    <row r="391" spans="1:4">
      <c r="A391" s="42" t="s">
        <v>453</v>
      </c>
      <c r="B391">
        <f>IFERROR(FIND('Simulador IR 2025'!$I$29, A391), 0)</f>
        <v>1</v>
      </c>
      <c r="C391">
        <f>IF(B391&gt;0, MAX($C$2:C390)+1, "")</f>
        <v>389</v>
      </c>
      <c r="D391" t="str">
        <f t="shared" si="6"/>
        <v/>
      </c>
    </row>
    <row r="392" spans="1:4">
      <c r="A392" s="42" t="s">
        <v>454</v>
      </c>
      <c r="B392">
        <f>IFERROR(FIND('Simulador IR 2025'!$I$29, A392), 0)</f>
        <v>1</v>
      </c>
      <c r="C392">
        <f>IF(B392&gt;0, MAX($C$2:C391)+1, "")</f>
        <v>390</v>
      </c>
      <c r="D392" t="str">
        <f t="shared" si="6"/>
        <v/>
      </c>
    </row>
    <row r="393" spans="1:4">
      <c r="A393" s="42" t="s">
        <v>455</v>
      </c>
      <c r="B393">
        <f>IFERROR(FIND('Simulador IR 2025'!$I$29, A393), 0)</f>
        <v>1</v>
      </c>
      <c r="C393">
        <f>IF(B393&gt;0, MAX($C$2:C392)+1, "")</f>
        <v>391</v>
      </c>
      <c r="D393" t="str">
        <f t="shared" si="6"/>
        <v/>
      </c>
    </row>
    <row r="394" spans="1:4">
      <c r="A394" s="42" t="s">
        <v>456</v>
      </c>
      <c r="B394">
        <f>IFERROR(FIND('Simulador IR 2025'!$I$29, A394), 0)</f>
        <v>1</v>
      </c>
      <c r="C394">
        <f>IF(B394&gt;0, MAX($C$2:C393)+1, "")</f>
        <v>392</v>
      </c>
      <c r="D394" t="str">
        <f t="shared" si="6"/>
        <v/>
      </c>
    </row>
    <row r="395" spans="1:4">
      <c r="A395" s="42" t="s">
        <v>457</v>
      </c>
      <c r="B395">
        <f>IFERROR(FIND('Simulador IR 2025'!$I$29, A395), 0)</f>
        <v>1</v>
      </c>
      <c r="C395">
        <f>IF(B395&gt;0, MAX($C$2:C394)+1, "")</f>
        <v>393</v>
      </c>
      <c r="D395" t="str">
        <f t="shared" si="6"/>
        <v/>
      </c>
    </row>
    <row r="396" spans="1:4">
      <c r="A396" s="42" t="s">
        <v>458</v>
      </c>
      <c r="B396">
        <f>IFERROR(FIND('Simulador IR 2025'!$I$29, A396), 0)</f>
        <v>1</v>
      </c>
      <c r="C396">
        <f>IF(B396&gt;0, MAX($C$2:C395)+1, "")</f>
        <v>394</v>
      </c>
      <c r="D396" t="str">
        <f t="shared" si="6"/>
        <v/>
      </c>
    </row>
    <row r="397" spans="1:4">
      <c r="A397" s="42" t="s">
        <v>459</v>
      </c>
      <c r="B397">
        <f>IFERROR(FIND('Simulador IR 2025'!$I$29, A397), 0)</f>
        <v>1</v>
      </c>
      <c r="C397">
        <f>IF(B397&gt;0, MAX($C$2:C396)+1, "")</f>
        <v>395</v>
      </c>
      <c r="D397" t="str">
        <f t="shared" si="6"/>
        <v/>
      </c>
    </row>
    <row r="398" spans="1:4">
      <c r="A398" s="42" t="s">
        <v>460</v>
      </c>
      <c r="B398">
        <f>IFERROR(FIND('Simulador IR 2025'!$I$29, A398), 0)</f>
        <v>1</v>
      </c>
      <c r="C398">
        <f>IF(B398&gt;0, MAX($C$2:C397)+1, "")</f>
        <v>396</v>
      </c>
      <c r="D398" t="str">
        <f t="shared" si="6"/>
        <v/>
      </c>
    </row>
    <row r="399" spans="1:4">
      <c r="A399" s="42" t="s">
        <v>461</v>
      </c>
      <c r="B399">
        <f>IFERROR(FIND('Simulador IR 2025'!$I$29, A399), 0)</f>
        <v>1</v>
      </c>
      <c r="C399">
        <f>IF(B399&gt;0, MAX($C$2:C398)+1, "")</f>
        <v>397</v>
      </c>
      <c r="D399" t="str">
        <f t="shared" si="6"/>
        <v/>
      </c>
    </row>
    <row r="400" spans="1:4">
      <c r="A400" s="42" t="s">
        <v>462</v>
      </c>
      <c r="B400">
        <f>IFERROR(FIND('Simulador IR 2025'!$I$29, A400), 0)</f>
        <v>1</v>
      </c>
      <c r="C400">
        <f>IF(B400&gt;0, MAX($C$2:C399)+1, "")</f>
        <v>398</v>
      </c>
      <c r="D400" t="str">
        <f t="shared" si="6"/>
        <v/>
      </c>
    </row>
    <row r="401" spans="1:4">
      <c r="A401" s="42" t="s">
        <v>463</v>
      </c>
      <c r="B401">
        <f>IFERROR(FIND('Simulador IR 2025'!$I$29, A401), 0)</f>
        <v>1</v>
      </c>
      <c r="C401">
        <f>IF(B401&gt;0, MAX($C$2:C400)+1, "")</f>
        <v>399</v>
      </c>
      <c r="D401" t="str">
        <f t="shared" si="6"/>
        <v/>
      </c>
    </row>
    <row r="402" spans="1:4">
      <c r="A402" s="42" t="s">
        <v>464</v>
      </c>
      <c r="B402">
        <f>IFERROR(FIND('Simulador IR 2025'!$I$29, A402), 0)</f>
        <v>1</v>
      </c>
      <c r="C402">
        <f>IF(B402&gt;0, MAX($C$2:C401)+1, "")</f>
        <v>400</v>
      </c>
      <c r="D402" t="str">
        <f t="shared" si="6"/>
        <v/>
      </c>
    </row>
    <row r="403" spans="1:4">
      <c r="A403" s="42" t="s">
        <v>465</v>
      </c>
      <c r="B403">
        <f>IFERROR(FIND('Simulador IR 2025'!$I$29, A403), 0)</f>
        <v>1</v>
      </c>
      <c r="C403">
        <f>IF(B403&gt;0, MAX($C$2:C402)+1, "")</f>
        <v>401</v>
      </c>
      <c r="D403" t="str">
        <f t="shared" si="6"/>
        <v/>
      </c>
    </row>
    <row r="404" spans="1:4">
      <c r="A404" s="42" t="s">
        <v>466</v>
      </c>
      <c r="B404">
        <f>IFERROR(FIND('Simulador IR 2025'!$I$29, A404), 0)</f>
        <v>1</v>
      </c>
      <c r="C404">
        <f>IF(B404&gt;0, MAX($C$2:C403)+1, "")</f>
        <v>402</v>
      </c>
      <c r="D404" t="str">
        <f t="shared" si="6"/>
        <v/>
      </c>
    </row>
    <row r="405" spans="1:4">
      <c r="A405" s="42" t="s">
        <v>467</v>
      </c>
      <c r="B405">
        <f>IFERROR(FIND('Simulador IR 2025'!$I$29, A405), 0)</f>
        <v>1</v>
      </c>
      <c r="C405">
        <f>IF(B405&gt;0, MAX($C$2:C404)+1, "")</f>
        <v>403</v>
      </c>
      <c r="D405" t="str">
        <f t="shared" si="6"/>
        <v/>
      </c>
    </row>
    <row r="406" spans="1:4">
      <c r="A406" s="42" t="s">
        <v>468</v>
      </c>
      <c r="B406">
        <f>IFERROR(FIND('Simulador IR 2025'!$I$29, A406), 0)</f>
        <v>1</v>
      </c>
      <c r="C406">
        <f>IF(B406&gt;0, MAX($C$2:C405)+1, "")</f>
        <v>404</v>
      </c>
      <c r="D406" t="str">
        <f t="shared" si="6"/>
        <v/>
      </c>
    </row>
    <row r="407" spans="1:4">
      <c r="A407" s="42" t="s">
        <v>469</v>
      </c>
      <c r="B407">
        <f>IFERROR(FIND('Simulador IR 2025'!$I$29, A407), 0)</f>
        <v>1</v>
      </c>
      <c r="C407">
        <f>IF(B407&gt;0, MAX($C$2:C406)+1, "")</f>
        <v>405</v>
      </c>
      <c r="D407" t="str">
        <f t="shared" si="6"/>
        <v/>
      </c>
    </row>
    <row r="408" spans="1:4">
      <c r="A408" s="42" t="s">
        <v>470</v>
      </c>
      <c r="B408">
        <f>IFERROR(FIND('Simulador IR 2025'!$I$29, A408), 0)</f>
        <v>1</v>
      </c>
      <c r="C408">
        <f>IF(B408&gt;0, MAX($C$2:C407)+1, "")</f>
        <v>406</v>
      </c>
      <c r="D408" t="str">
        <f t="shared" si="6"/>
        <v/>
      </c>
    </row>
    <row r="409" spans="1:4">
      <c r="A409" s="42" t="s">
        <v>471</v>
      </c>
      <c r="B409">
        <f>IFERROR(FIND('Simulador IR 2025'!$I$29, A409), 0)</f>
        <v>1</v>
      </c>
      <c r="C409">
        <f>IF(B409&gt;0, MAX($C$2:C408)+1, "")</f>
        <v>407</v>
      </c>
      <c r="D409" t="str">
        <f t="shared" si="6"/>
        <v/>
      </c>
    </row>
    <row r="410" spans="1:4">
      <c r="A410" s="42" t="s">
        <v>472</v>
      </c>
      <c r="B410">
        <f>IFERROR(FIND('Simulador IR 2025'!$I$29, A410), 0)</f>
        <v>1</v>
      </c>
      <c r="C410">
        <f>IF(B410&gt;0, MAX($C$2:C409)+1, "")</f>
        <v>408</v>
      </c>
      <c r="D410" t="str">
        <f t="shared" si="6"/>
        <v/>
      </c>
    </row>
    <row r="411" spans="1:4">
      <c r="A411" s="42" t="s">
        <v>473</v>
      </c>
      <c r="B411">
        <f>IFERROR(FIND('Simulador IR 2025'!$I$29, A411), 0)</f>
        <v>1</v>
      </c>
      <c r="C411">
        <f>IF(B411&gt;0, MAX($C$2:C410)+1, "")</f>
        <v>409</v>
      </c>
      <c r="D411" t="str">
        <f t="shared" si="6"/>
        <v/>
      </c>
    </row>
    <row r="412" spans="1:4">
      <c r="A412" s="42" t="s">
        <v>474</v>
      </c>
      <c r="B412">
        <f>IFERROR(FIND('Simulador IR 2025'!$I$29, A412), 0)</f>
        <v>1</v>
      </c>
      <c r="C412">
        <f>IF(B412&gt;0, MAX($C$2:C411)+1, "")</f>
        <v>410</v>
      </c>
      <c r="D412" t="str">
        <f t="shared" si="6"/>
        <v/>
      </c>
    </row>
    <row r="413" spans="1:4">
      <c r="A413" s="42" t="s">
        <v>475</v>
      </c>
      <c r="B413">
        <f>IFERROR(FIND('Simulador IR 2025'!$I$29, A413), 0)</f>
        <v>1</v>
      </c>
      <c r="C413">
        <f>IF(B413&gt;0, MAX($C$2:C412)+1, "")</f>
        <v>411</v>
      </c>
      <c r="D413" t="str">
        <f t="shared" si="6"/>
        <v/>
      </c>
    </row>
    <row r="414" spans="1:4">
      <c r="A414" s="42" t="s">
        <v>476</v>
      </c>
      <c r="B414">
        <f>IFERROR(FIND('Simulador IR 2025'!$I$29, A414), 0)</f>
        <v>1</v>
      </c>
      <c r="C414">
        <f>IF(B414&gt;0, MAX($C$2:C413)+1, "")</f>
        <v>412</v>
      </c>
      <c r="D414" t="str">
        <f t="shared" si="6"/>
        <v/>
      </c>
    </row>
    <row r="415" spans="1:4">
      <c r="A415" s="42" t="s">
        <v>477</v>
      </c>
      <c r="B415">
        <f>IFERROR(FIND('Simulador IR 2025'!$I$29, A415), 0)</f>
        <v>1</v>
      </c>
      <c r="C415">
        <f>IF(B415&gt;0, MAX($C$2:C414)+1, "")</f>
        <v>413</v>
      </c>
      <c r="D415" t="str">
        <f t="shared" si="6"/>
        <v/>
      </c>
    </row>
    <row r="416" spans="1:4">
      <c r="A416" s="42" t="s">
        <v>478</v>
      </c>
      <c r="B416">
        <f>IFERROR(FIND('Simulador IR 2025'!$I$29, A416), 0)</f>
        <v>1</v>
      </c>
      <c r="C416">
        <f>IF(B416&gt;0, MAX($C$2:C415)+1, "")</f>
        <v>414</v>
      </c>
      <c r="D416" t="str">
        <f t="shared" si="6"/>
        <v/>
      </c>
    </row>
    <row r="417" spans="1:4">
      <c r="A417" s="42" t="s">
        <v>479</v>
      </c>
      <c r="B417">
        <f>IFERROR(FIND('Simulador IR 2025'!$I$29, A417), 0)</f>
        <v>1</v>
      </c>
      <c r="C417">
        <f>IF(B417&gt;0, MAX($C$2:C416)+1, "")</f>
        <v>415</v>
      </c>
      <c r="D417" t="str">
        <f t="shared" si="6"/>
        <v/>
      </c>
    </row>
    <row r="418" spans="1:4">
      <c r="A418" s="42" t="s">
        <v>480</v>
      </c>
      <c r="B418">
        <f>IFERROR(FIND('Simulador IR 2025'!$I$29, A418), 0)</f>
        <v>1</v>
      </c>
      <c r="C418">
        <f>IF(B418&gt;0, MAX($C$2:C417)+1, "")</f>
        <v>416</v>
      </c>
      <c r="D418" t="str">
        <f t="shared" si="6"/>
        <v/>
      </c>
    </row>
    <row r="419" spans="1:4">
      <c r="A419" s="42" t="s">
        <v>481</v>
      </c>
      <c r="B419">
        <f>IFERROR(FIND('Simulador IR 2025'!$I$29, A419), 0)</f>
        <v>1</v>
      </c>
      <c r="C419">
        <f>IF(B419&gt;0, MAX($C$2:C418)+1, "")</f>
        <v>417</v>
      </c>
      <c r="D419" t="str">
        <f t="shared" si="6"/>
        <v/>
      </c>
    </row>
    <row r="420" spans="1:4">
      <c r="A420" s="42" t="s">
        <v>482</v>
      </c>
      <c r="B420">
        <f>IFERROR(FIND('Simulador IR 2025'!$I$29, A420), 0)</f>
        <v>1</v>
      </c>
      <c r="C420">
        <f>IF(B420&gt;0, MAX($C$2:C419)+1, "")</f>
        <v>418</v>
      </c>
      <c r="D420" t="str">
        <f t="shared" si="6"/>
        <v/>
      </c>
    </row>
    <row r="421" spans="1:4">
      <c r="A421" s="42" t="s">
        <v>483</v>
      </c>
      <c r="B421">
        <f>IFERROR(FIND('Simulador IR 2025'!$I$29, A421), 0)</f>
        <v>1</v>
      </c>
      <c r="C421">
        <f>IF(B421&gt;0, MAX($C$2:C420)+1, "")</f>
        <v>419</v>
      </c>
      <c r="D421" t="str">
        <f t="shared" si="6"/>
        <v/>
      </c>
    </row>
    <row r="422" spans="1:4">
      <c r="A422" s="42" t="s">
        <v>484</v>
      </c>
      <c r="B422">
        <f>IFERROR(FIND('Simulador IR 2025'!$I$29, A422), 0)</f>
        <v>1</v>
      </c>
      <c r="C422">
        <f>IF(B422&gt;0, MAX($C$2:C421)+1, "")</f>
        <v>420</v>
      </c>
      <c r="D422" t="str">
        <f t="shared" si="6"/>
        <v/>
      </c>
    </row>
    <row r="423" spans="1:4">
      <c r="A423" s="42" t="s">
        <v>485</v>
      </c>
      <c r="B423">
        <f>IFERROR(FIND('Simulador IR 2025'!$I$29, A423), 0)</f>
        <v>1</v>
      </c>
      <c r="C423">
        <f>IF(B423&gt;0, MAX($C$2:C422)+1, "")</f>
        <v>421</v>
      </c>
      <c r="D423" t="str">
        <f t="shared" si="6"/>
        <v/>
      </c>
    </row>
    <row r="424" spans="1:4">
      <c r="A424" s="42" t="s">
        <v>486</v>
      </c>
      <c r="B424">
        <f>IFERROR(FIND('Simulador IR 2025'!$I$29, A424), 0)</f>
        <v>1</v>
      </c>
      <c r="C424">
        <f>IF(B424&gt;0, MAX($C$2:C423)+1, "")</f>
        <v>422</v>
      </c>
      <c r="D424" t="str">
        <f t="shared" si="6"/>
        <v/>
      </c>
    </row>
    <row r="425" spans="1:4">
      <c r="A425" s="42" t="s">
        <v>487</v>
      </c>
      <c r="B425">
        <f>IFERROR(FIND('Simulador IR 2025'!$I$29, A425), 0)</f>
        <v>1</v>
      </c>
      <c r="C425">
        <f>IF(B425&gt;0, MAX($C$2:C424)+1, "")</f>
        <v>423</v>
      </c>
      <c r="D425" t="str">
        <f t="shared" si="6"/>
        <v/>
      </c>
    </row>
    <row r="426" spans="1:4">
      <c r="A426" s="42" t="s">
        <v>488</v>
      </c>
      <c r="B426">
        <f>IFERROR(FIND('Simulador IR 2025'!$I$29, A426), 0)</f>
        <v>1</v>
      </c>
      <c r="C426">
        <f>IF(B426&gt;0, MAX($C$2:C425)+1, "")</f>
        <v>424</v>
      </c>
      <c r="D426" t="str">
        <f t="shared" si="6"/>
        <v/>
      </c>
    </row>
    <row r="427" spans="1:4">
      <c r="A427" s="42" t="s">
        <v>489</v>
      </c>
      <c r="B427">
        <f>IFERROR(FIND('Simulador IR 2025'!$I$29, A427), 0)</f>
        <v>1</v>
      </c>
      <c r="C427">
        <f>IF(B427&gt;0, MAX($C$2:C426)+1, "")</f>
        <v>425</v>
      </c>
      <c r="D427" t="str">
        <f t="shared" si="6"/>
        <v/>
      </c>
    </row>
    <row r="428" spans="1:4">
      <c r="A428" s="42" t="s">
        <v>490</v>
      </c>
      <c r="B428">
        <f>IFERROR(FIND('Simulador IR 2025'!$I$29, A428), 0)</f>
        <v>1</v>
      </c>
      <c r="C428">
        <f>IF(B428&gt;0, MAX($C$2:C427)+1, "")</f>
        <v>426</v>
      </c>
      <c r="D428" t="str">
        <f t="shared" si="6"/>
        <v/>
      </c>
    </row>
    <row r="429" spans="1:4">
      <c r="A429" s="42" t="s">
        <v>491</v>
      </c>
      <c r="B429">
        <f>IFERROR(FIND('Simulador IR 2025'!$I$29, A429), 0)</f>
        <v>1</v>
      </c>
      <c r="C429">
        <f>IF(B429&gt;0, MAX($C$2:C428)+1, "")</f>
        <v>427</v>
      </c>
      <c r="D429" t="str">
        <f t="shared" si="6"/>
        <v/>
      </c>
    </row>
    <row r="430" spans="1:4">
      <c r="A430" s="42" t="s">
        <v>492</v>
      </c>
      <c r="B430">
        <f>IFERROR(FIND('Simulador IR 2025'!$I$29, A430), 0)</f>
        <v>1</v>
      </c>
      <c r="C430">
        <f>IF(B430&gt;0, MAX($C$2:C429)+1, "")</f>
        <v>428</v>
      </c>
      <c r="D430" t="str">
        <f t="shared" si="6"/>
        <v/>
      </c>
    </row>
    <row r="431" spans="1:4">
      <c r="A431" s="42" t="s">
        <v>493</v>
      </c>
      <c r="B431">
        <f>IFERROR(FIND('Simulador IR 2025'!$I$29, A431), 0)</f>
        <v>1</v>
      </c>
      <c r="C431">
        <f>IF(B431&gt;0, MAX($C$2:C430)+1, "")</f>
        <v>429</v>
      </c>
      <c r="D431" t="str">
        <f t="shared" si="6"/>
        <v/>
      </c>
    </row>
    <row r="432" spans="1:4">
      <c r="A432" s="42" t="s">
        <v>494</v>
      </c>
      <c r="B432">
        <f>IFERROR(FIND('Simulador IR 2025'!$I$29, A432), 0)</f>
        <v>1</v>
      </c>
      <c r="C432">
        <f>IF(B432&gt;0, MAX($C$2:C431)+1, "")</f>
        <v>430</v>
      </c>
      <c r="D432" t="str">
        <f t="shared" si="6"/>
        <v/>
      </c>
    </row>
    <row r="433" spans="1:4">
      <c r="A433" s="42" t="s">
        <v>495</v>
      </c>
      <c r="B433">
        <f>IFERROR(FIND('Simulador IR 2025'!$I$29, A433), 0)</f>
        <v>1</v>
      </c>
      <c r="C433">
        <f>IF(B433&gt;0, MAX($C$2:C432)+1, "")</f>
        <v>431</v>
      </c>
      <c r="D433" t="str">
        <f t="shared" si="6"/>
        <v/>
      </c>
    </row>
    <row r="434" spans="1:4">
      <c r="A434" s="42" t="s">
        <v>496</v>
      </c>
      <c r="B434">
        <f>IFERROR(FIND('Simulador IR 2025'!$I$29, A434), 0)</f>
        <v>1</v>
      </c>
      <c r="C434">
        <f>IF(B434&gt;0, MAX($C$2:C433)+1, "")</f>
        <v>432</v>
      </c>
      <c r="D434" t="str">
        <f t="shared" si="6"/>
        <v/>
      </c>
    </row>
    <row r="435" spans="1:4">
      <c r="A435" s="42" t="s">
        <v>497</v>
      </c>
      <c r="B435">
        <f>IFERROR(FIND('Simulador IR 2025'!$I$29, A435), 0)</f>
        <v>1</v>
      </c>
      <c r="C435">
        <f>IF(B435&gt;0, MAX($C$2:C434)+1, "")</f>
        <v>433</v>
      </c>
      <c r="D435" t="str">
        <f t="shared" si="6"/>
        <v/>
      </c>
    </row>
    <row r="436" spans="1:4">
      <c r="A436" s="42" t="s">
        <v>498</v>
      </c>
      <c r="B436">
        <f>IFERROR(FIND('Simulador IR 2025'!$I$29, A436), 0)</f>
        <v>1</v>
      </c>
      <c r="C436">
        <f>IF(B436&gt;0, MAX($C$2:C435)+1, "")</f>
        <v>434</v>
      </c>
      <c r="D436" t="str">
        <f t="shared" si="6"/>
        <v/>
      </c>
    </row>
    <row r="437" spans="1:4">
      <c r="A437" s="42" t="s">
        <v>499</v>
      </c>
      <c r="B437">
        <f>IFERROR(FIND('Simulador IR 2025'!$I$29, A437), 0)</f>
        <v>1</v>
      </c>
      <c r="C437">
        <f>IF(B437&gt;0, MAX($C$2:C436)+1, "")</f>
        <v>435</v>
      </c>
      <c r="D437" t="str">
        <f t="shared" si="6"/>
        <v/>
      </c>
    </row>
    <row r="438" spans="1:4">
      <c r="A438" s="42" t="s">
        <v>500</v>
      </c>
      <c r="B438">
        <f>IFERROR(FIND('Simulador IR 2025'!$I$29, A438), 0)</f>
        <v>1</v>
      </c>
      <c r="C438">
        <f>IF(B438&gt;0, MAX($C$2:C437)+1, "")</f>
        <v>436</v>
      </c>
      <c r="D438" t="str">
        <f t="shared" si="6"/>
        <v/>
      </c>
    </row>
    <row r="439" spans="1:4">
      <c r="A439" s="42" t="s">
        <v>501</v>
      </c>
      <c r="B439">
        <f>IFERROR(FIND('Simulador IR 2025'!$I$29, A439), 0)</f>
        <v>1</v>
      </c>
      <c r="C439">
        <f>IF(B439&gt;0, MAX($C$2:C438)+1, "")</f>
        <v>437</v>
      </c>
      <c r="D439" t="str">
        <f t="shared" si="6"/>
        <v/>
      </c>
    </row>
    <row r="440" spans="1:4">
      <c r="A440" s="42" t="s">
        <v>502</v>
      </c>
      <c r="B440">
        <f>IFERROR(FIND('Simulador IR 2025'!$I$29, A440), 0)</f>
        <v>1</v>
      </c>
      <c r="C440">
        <f>IF(B440&gt;0, MAX($C$2:C439)+1, "")</f>
        <v>438</v>
      </c>
      <c r="D440" t="str">
        <f t="shared" si="6"/>
        <v/>
      </c>
    </row>
    <row r="441" spans="1:4">
      <c r="A441" s="42" t="s">
        <v>503</v>
      </c>
      <c r="B441">
        <f>IFERROR(FIND('Simulador IR 2025'!$I$29, A441), 0)</f>
        <v>1</v>
      </c>
      <c r="C441">
        <f>IF(B441&gt;0, MAX($C$2:C440)+1, "")</f>
        <v>439</v>
      </c>
      <c r="D441" t="str">
        <f t="shared" si="6"/>
        <v/>
      </c>
    </row>
    <row r="442" spans="1:4">
      <c r="A442" s="42" t="s">
        <v>504</v>
      </c>
      <c r="B442">
        <f>IFERROR(FIND('Simulador IR 2025'!$I$29, A442), 0)</f>
        <v>1</v>
      </c>
      <c r="C442">
        <f>IF(B442&gt;0, MAX($C$2:C441)+1, "")</f>
        <v>440</v>
      </c>
      <c r="D442" t="str">
        <f t="shared" si="6"/>
        <v/>
      </c>
    </row>
    <row r="443" spans="1:4">
      <c r="A443" s="42" t="s">
        <v>505</v>
      </c>
      <c r="B443">
        <f>IFERROR(FIND('Simulador IR 2025'!$I$29, A443), 0)</f>
        <v>1</v>
      </c>
      <c r="C443">
        <f>IF(B443&gt;0, MAX($C$2:C442)+1, "")</f>
        <v>441</v>
      </c>
      <c r="D443" t="str">
        <f t="shared" si="6"/>
        <v/>
      </c>
    </row>
    <row r="444" spans="1:4">
      <c r="A444" s="42" t="s">
        <v>506</v>
      </c>
      <c r="B444">
        <f>IFERROR(FIND('Simulador IR 2025'!$I$29, A444), 0)</f>
        <v>1</v>
      </c>
      <c r="C444">
        <f>IF(B444&gt;0, MAX($C$2:C443)+1, "")</f>
        <v>442</v>
      </c>
      <c r="D444" t="str">
        <f t="shared" si="6"/>
        <v/>
      </c>
    </row>
    <row r="445" spans="1:4">
      <c r="A445" s="42" t="s">
        <v>507</v>
      </c>
      <c r="B445">
        <f>IFERROR(FIND('Simulador IR 2025'!$I$29, A445), 0)</f>
        <v>1</v>
      </c>
      <c r="C445">
        <f>IF(B445&gt;0, MAX($C$2:C444)+1, "")</f>
        <v>443</v>
      </c>
      <c r="D445" t="str">
        <f t="shared" si="6"/>
        <v/>
      </c>
    </row>
    <row r="446" spans="1:4">
      <c r="A446" s="42" t="s">
        <v>508</v>
      </c>
      <c r="B446">
        <f>IFERROR(FIND('Simulador IR 2025'!$I$29, A446), 0)</f>
        <v>1</v>
      </c>
      <c r="C446">
        <f>IF(B446&gt;0, MAX($C$2:C445)+1, "")</f>
        <v>444</v>
      </c>
      <c r="D446" t="str">
        <f t="shared" si="6"/>
        <v/>
      </c>
    </row>
    <row r="447" spans="1:4">
      <c r="A447" s="42" t="s">
        <v>509</v>
      </c>
      <c r="B447">
        <f>IFERROR(FIND('Simulador IR 2025'!$I$29, A447), 0)</f>
        <v>1</v>
      </c>
      <c r="C447">
        <f>IF(B447&gt;0, MAX($C$2:C446)+1, "")</f>
        <v>445</v>
      </c>
      <c r="D447" t="str">
        <f t="shared" si="6"/>
        <v/>
      </c>
    </row>
    <row r="448" spans="1:4">
      <c r="A448" s="42" t="s">
        <v>510</v>
      </c>
      <c r="B448">
        <f>IFERROR(FIND('Simulador IR 2025'!$I$29, A448), 0)</f>
        <v>1</v>
      </c>
      <c r="C448">
        <f>IF(B448&gt;0, MAX($C$2:C447)+1, "")</f>
        <v>446</v>
      </c>
      <c r="D448" t="str">
        <f t="shared" si="6"/>
        <v/>
      </c>
    </row>
    <row r="449" spans="1:4">
      <c r="A449" s="42" t="s">
        <v>511</v>
      </c>
      <c r="B449">
        <f>IFERROR(FIND('Simulador IR 2025'!$I$29, A449), 0)</f>
        <v>1</v>
      </c>
      <c r="C449">
        <f>IF(B449&gt;0, MAX($C$2:C448)+1, "")</f>
        <v>447</v>
      </c>
      <c r="D449" t="str">
        <f t="shared" si="6"/>
        <v/>
      </c>
    </row>
    <row r="450" spans="1:4">
      <c r="A450" s="42" t="s">
        <v>512</v>
      </c>
      <c r="B450">
        <f>IFERROR(FIND('Simulador IR 2025'!$I$29, A450), 0)</f>
        <v>1</v>
      </c>
      <c r="C450">
        <f>IF(B450&gt;0, MAX($C$2:C449)+1, "")</f>
        <v>448</v>
      </c>
      <c r="D450" t="str">
        <f t="shared" si="6"/>
        <v/>
      </c>
    </row>
    <row r="451" spans="1:4">
      <c r="A451" s="42" t="s">
        <v>513</v>
      </c>
      <c r="B451">
        <f>IFERROR(FIND('Simulador IR 2025'!$I$29, A451), 0)</f>
        <v>1</v>
      </c>
      <c r="C451">
        <f>IF(B451&gt;0, MAX($C$2:C450)+1, "")</f>
        <v>449</v>
      </c>
      <c r="D451" t="str">
        <f t="shared" si="6"/>
        <v/>
      </c>
    </row>
    <row r="452" spans="1:4">
      <c r="A452" s="42" t="s">
        <v>514</v>
      </c>
      <c r="B452">
        <f>IFERROR(FIND('Simulador IR 2025'!$I$29, A452), 0)</f>
        <v>1</v>
      </c>
      <c r="C452">
        <f>IF(B452&gt;0, MAX($C$2:C451)+1, "")</f>
        <v>450</v>
      </c>
      <c r="D452" t="str">
        <f t="shared" ref="D452:D515" si="7">IFERROR(VLOOKUP(ROW(A450), $A$3:$C$2681, -2, FALSE), "")</f>
        <v/>
      </c>
    </row>
    <row r="453" spans="1:4">
      <c r="A453" s="42" t="s">
        <v>515</v>
      </c>
      <c r="B453">
        <f>IFERROR(FIND('Simulador IR 2025'!$I$29, A453), 0)</f>
        <v>1</v>
      </c>
      <c r="C453">
        <f>IF(B453&gt;0, MAX($C$2:C452)+1, "")</f>
        <v>451</v>
      </c>
      <c r="D453" t="str">
        <f t="shared" si="7"/>
        <v/>
      </c>
    </row>
    <row r="454" spans="1:4">
      <c r="A454" s="42" t="s">
        <v>516</v>
      </c>
      <c r="B454">
        <f>IFERROR(FIND('Simulador IR 2025'!$I$29, A454), 0)</f>
        <v>1</v>
      </c>
      <c r="C454">
        <f>IF(B454&gt;0, MAX($C$2:C453)+1, "")</f>
        <v>452</v>
      </c>
      <c r="D454" t="str">
        <f t="shared" si="7"/>
        <v/>
      </c>
    </row>
    <row r="455" spans="1:4">
      <c r="A455" s="42" t="s">
        <v>517</v>
      </c>
      <c r="B455">
        <f>IFERROR(FIND('Simulador IR 2025'!$I$29, A455), 0)</f>
        <v>1</v>
      </c>
      <c r="C455">
        <f>IF(B455&gt;0, MAX($C$2:C454)+1, "")</f>
        <v>453</v>
      </c>
      <c r="D455" t="str">
        <f t="shared" si="7"/>
        <v/>
      </c>
    </row>
    <row r="456" spans="1:4">
      <c r="A456" s="42" t="s">
        <v>518</v>
      </c>
      <c r="B456">
        <f>IFERROR(FIND('Simulador IR 2025'!$I$29, A456), 0)</f>
        <v>1</v>
      </c>
      <c r="C456">
        <f>IF(B456&gt;0, MAX($C$2:C455)+1, "")</f>
        <v>454</v>
      </c>
      <c r="D456" t="str">
        <f t="shared" si="7"/>
        <v/>
      </c>
    </row>
    <row r="457" spans="1:4">
      <c r="A457" s="42" t="s">
        <v>519</v>
      </c>
      <c r="B457">
        <f>IFERROR(FIND('Simulador IR 2025'!$I$29, A457), 0)</f>
        <v>1</v>
      </c>
      <c r="C457">
        <f>IF(B457&gt;0, MAX($C$2:C456)+1, "")</f>
        <v>455</v>
      </c>
      <c r="D457" t="str">
        <f t="shared" si="7"/>
        <v/>
      </c>
    </row>
    <row r="458" spans="1:4">
      <c r="A458" s="42" t="s">
        <v>520</v>
      </c>
      <c r="B458">
        <f>IFERROR(FIND('Simulador IR 2025'!$I$29, A458), 0)</f>
        <v>1</v>
      </c>
      <c r="C458">
        <f>IF(B458&gt;0, MAX($C$2:C457)+1, "")</f>
        <v>456</v>
      </c>
      <c r="D458" t="str">
        <f t="shared" si="7"/>
        <v/>
      </c>
    </row>
    <row r="459" spans="1:4">
      <c r="A459" s="42" t="s">
        <v>521</v>
      </c>
      <c r="B459">
        <f>IFERROR(FIND('Simulador IR 2025'!$I$29, A459), 0)</f>
        <v>1</v>
      </c>
      <c r="C459">
        <f>IF(B459&gt;0, MAX($C$2:C458)+1, "")</f>
        <v>457</v>
      </c>
      <c r="D459" t="str">
        <f t="shared" si="7"/>
        <v/>
      </c>
    </row>
    <row r="460" spans="1:4">
      <c r="A460" s="42" t="s">
        <v>522</v>
      </c>
      <c r="B460">
        <f>IFERROR(FIND('Simulador IR 2025'!$I$29, A460), 0)</f>
        <v>1</v>
      </c>
      <c r="C460">
        <f>IF(B460&gt;0, MAX($C$2:C459)+1, "")</f>
        <v>458</v>
      </c>
      <c r="D460" t="str">
        <f t="shared" si="7"/>
        <v/>
      </c>
    </row>
    <row r="461" spans="1:4">
      <c r="A461" s="42" t="s">
        <v>523</v>
      </c>
      <c r="B461">
        <f>IFERROR(FIND('Simulador IR 2025'!$I$29, A461), 0)</f>
        <v>1</v>
      </c>
      <c r="C461">
        <f>IF(B461&gt;0, MAX($C$2:C460)+1, "")</f>
        <v>459</v>
      </c>
      <c r="D461" t="str">
        <f t="shared" si="7"/>
        <v/>
      </c>
    </row>
    <row r="462" spans="1:4">
      <c r="A462" s="42" t="s">
        <v>524</v>
      </c>
      <c r="B462">
        <f>IFERROR(FIND('Simulador IR 2025'!$I$29, A462), 0)</f>
        <v>1</v>
      </c>
      <c r="C462">
        <f>IF(B462&gt;0, MAX($C$2:C461)+1, "")</f>
        <v>460</v>
      </c>
      <c r="D462" t="str">
        <f t="shared" si="7"/>
        <v/>
      </c>
    </row>
    <row r="463" spans="1:4">
      <c r="A463" s="42" t="s">
        <v>525</v>
      </c>
      <c r="B463">
        <f>IFERROR(FIND('Simulador IR 2025'!$I$29, A463), 0)</f>
        <v>1</v>
      </c>
      <c r="C463">
        <f>IF(B463&gt;0, MAX($C$2:C462)+1, "")</f>
        <v>461</v>
      </c>
      <c r="D463" t="str">
        <f t="shared" si="7"/>
        <v/>
      </c>
    </row>
    <row r="464" spans="1:4">
      <c r="A464" s="42" t="s">
        <v>526</v>
      </c>
      <c r="B464">
        <f>IFERROR(FIND('Simulador IR 2025'!$I$29, A464), 0)</f>
        <v>1</v>
      </c>
      <c r="C464">
        <f>IF(B464&gt;0, MAX($C$2:C463)+1, "")</f>
        <v>462</v>
      </c>
      <c r="D464" t="str">
        <f t="shared" si="7"/>
        <v/>
      </c>
    </row>
    <row r="465" spans="1:4">
      <c r="A465" s="42" t="s">
        <v>527</v>
      </c>
      <c r="B465">
        <f>IFERROR(FIND('Simulador IR 2025'!$I$29, A465), 0)</f>
        <v>1</v>
      </c>
      <c r="C465">
        <f>IF(B465&gt;0, MAX($C$2:C464)+1, "")</f>
        <v>463</v>
      </c>
      <c r="D465" t="str">
        <f t="shared" si="7"/>
        <v/>
      </c>
    </row>
    <row r="466" spans="1:4">
      <c r="A466" s="42" t="s">
        <v>528</v>
      </c>
      <c r="B466">
        <f>IFERROR(FIND('Simulador IR 2025'!$I$29, A466), 0)</f>
        <v>1</v>
      </c>
      <c r="C466">
        <f>IF(B466&gt;0, MAX($C$2:C465)+1, "")</f>
        <v>464</v>
      </c>
      <c r="D466" t="str">
        <f t="shared" si="7"/>
        <v/>
      </c>
    </row>
    <row r="467" spans="1:4">
      <c r="A467" s="42" t="s">
        <v>529</v>
      </c>
      <c r="B467">
        <f>IFERROR(FIND('Simulador IR 2025'!$I$29, A467), 0)</f>
        <v>1</v>
      </c>
      <c r="C467">
        <f>IF(B467&gt;0, MAX($C$2:C466)+1, "")</f>
        <v>465</v>
      </c>
      <c r="D467" t="str">
        <f t="shared" si="7"/>
        <v/>
      </c>
    </row>
    <row r="468" spans="1:4">
      <c r="A468" s="42" t="s">
        <v>530</v>
      </c>
      <c r="B468">
        <f>IFERROR(FIND('Simulador IR 2025'!$I$29, A468), 0)</f>
        <v>1</v>
      </c>
      <c r="C468">
        <f>IF(B468&gt;0, MAX($C$2:C467)+1, "")</f>
        <v>466</v>
      </c>
      <c r="D468" t="str">
        <f t="shared" si="7"/>
        <v/>
      </c>
    </row>
    <row r="469" spans="1:4">
      <c r="A469" s="42" t="s">
        <v>531</v>
      </c>
      <c r="B469">
        <f>IFERROR(FIND('Simulador IR 2025'!$I$29, A469), 0)</f>
        <v>1</v>
      </c>
      <c r="C469">
        <f>IF(B469&gt;0, MAX($C$2:C468)+1, "")</f>
        <v>467</v>
      </c>
      <c r="D469" t="str">
        <f t="shared" si="7"/>
        <v/>
      </c>
    </row>
    <row r="470" spans="1:4">
      <c r="A470" s="42" t="s">
        <v>532</v>
      </c>
      <c r="B470">
        <f>IFERROR(FIND('Simulador IR 2025'!$I$29, A470), 0)</f>
        <v>1</v>
      </c>
      <c r="C470">
        <f>IF(B470&gt;0, MAX($C$2:C469)+1, "")</f>
        <v>468</v>
      </c>
      <c r="D470" t="str">
        <f t="shared" si="7"/>
        <v/>
      </c>
    </row>
    <row r="471" spans="1:4">
      <c r="A471" s="42" t="s">
        <v>533</v>
      </c>
      <c r="B471">
        <f>IFERROR(FIND('Simulador IR 2025'!$I$29, A471), 0)</f>
        <v>1</v>
      </c>
      <c r="C471">
        <f>IF(B471&gt;0, MAX($C$2:C470)+1, "")</f>
        <v>469</v>
      </c>
      <c r="D471" t="str">
        <f t="shared" si="7"/>
        <v/>
      </c>
    </row>
    <row r="472" spans="1:4">
      <c r="A472" s="42" t="s">
        <v>534</v>
      </c>
      <c r="B472">
        <f>IFERROR(FIND('Simulador IR 2025'!$I$29, A472), 0)</f>
        <v>1</v>
      </c>
      <c r="C472">
        <f>IF(B472&gt;0, MAX($C$2:C471)+1, "")</f>
        <v>470</v>
      </c>
      <c r="D472" t="str">
        <f t="shared" si="7"/>
        <v/>
      </c>
    </row>
    <row r="473" spans="1:4">
      <c r="A473" s="42" t="s">
        <v>535</v>
      </c>
      <c r="B473">
        <f>IFERROR(FIND('Simulador IR 2025'!$I$29, A473), 0)</f>
        <v>1</v>
      </c>
      <c r="C473">
        <f>IF(B473&gt;0, MAX($C$2:C472)+1, "")</f>
        <v>471</v>
      </c>
      <c r="D473" t="str">
        <f t="shared" si="7"/>
        <v/>
      </c>
    </row>
    <row r="474" spans="1:4">
      <c r="A474" s="42" t="s">
        <v>536</v>
      </c>
      <c r="B474">
        <f>IFERROR(FIND('Simulador IR 2025'!$I$29, A474), 0)</f>
        <v>1</v>
      </c>
      <c r="C474">
        <f>IF(B474&gt;0, MAX($C$2:C473)+1, "")</f>
        <v>472</v>
      </c>
      <c r="D474" t="str">
        <f t="shared" si="7"/>
        <v/>
      </c>
    </row>
    <row r="475" spans="1:4">
      <c r="A475" s="42" t="s">
        <v>537</v>
      </c>
      <c r="B475">
        <f>IFERROR(FIND('Simulador IR 2025'!$I$29, A475), 0)</f>
        <v>1</v>
      </c>
      <c r="C475">
        <f>IF(B475&gt;0, MAX($C$2:C474)+1, "")</f>
        <v>473</v>
      </c>
      <c r="D475" t="str">
        <f t="shared" si="7"/>
        <v/>
      </c>
    </row>
    <row r="476" spans="1:4">
      <c r="A476" s="42" t="s">
        <v>538</v>
      </c>
      <c r="B476">
        <f>IFERROR(FIND('Simulador IR 2025'!$I$29, A476), 0)</f>
        <v>1</v>
      </c>
      <c r="C476">
        <f>IF(B476&gt;0, MAX($C$2:C475)+1, "")</f>
        <v>474</v>
      </c>
      <c r="D476" t="str">
        <f t="shared" si="7"/>
        <v/>
      </c>
    </row>
    <row r="477" spans="1:4">
      <c r="A477" s="42" t="s">
        <v>539</v>
      </c>
      <c r="B477">
        <f>IFERROR(FIND('Simulador IR 2025'!$I$29, A477), 0)</f>
        <v>1</v>
      </c>
      <c r="C477">
        <f>IF(B477&gt;0, MAX($C$2:C476)+1, "")</f>
        <v>475</v>
      </c>
      <c r="D477" t="str">
        <f t="shared" si="7"/>
        <v/>
      </c>
    </row>
    <row r="478" spans="1:4">
      <c r="A478" s="42" t="s">
        <v>540</v>
      </c>
      <c r="B478">
        <f>IFERROR(FIND('Simulador IR 2025'!$I$29, A478), 0)</f>
        <v>1</v>
      </c>
      <c r="C478">
        <f>IF(B478&gt;0, MAX($C$2:C477)+1, "")</f>
        <v>476</v>
      </c>
      <c r="D478" t="str">
        <f t="shared" si="7"/>
        <v/>
      </c>
    </row>
    <row r="479" spans="1:4">
      <c r="A479" s="42" t="s">
        <v>541</v>
      </c>
      <c r="B479">
        <f>IFERROR(FIND('Simulador IR 2025'!$I$29, A479), 0)</f>
        <v>1</v>
      </c>
      <c r="C479">
        <f>IF(B479&gt;0, MAX($C$2:C478)+1, "")</f>
        <v>477</v>
      </c>
      <c r="D479" t="str">
        <f t="shared" si="7"/>
        <v/>
      </c>
    </row>
    <row r="480" spans="1:4">
      <c r="A480" s="42" t="s">
        <v>542</v>
      </c>
      <c r="B480">
        <f>IFERROR(FIND('Simulador IR 2025'!$I$29, A480), 0)</f>
        <v>1</v>
      </c>
      <c r="C480">
        <f>IF(B480&gt;0, MAX($C$2:C479)+1, "")</f>
        <v>478</v>
      </c>
      <c r="D480" t="str">
        <f t="shared" si="7"/>
        <v/>
      </c>
    </row>
    <row r="481" spans="1:4">
      <c r="A481" s="42" t="s">
        <v>543</v>
      </c>
      <c r="B481">
        <f>IFERROR(FIND('Simulador IR 2025'!$I$29, A481), 0)</f>
        <v>1</v>
      </c>
      <c r="C481">
        <f>IF(B481&gt;0, MAX($C$2:C480)+1, "")</f>
        <v>479</v>
      </c>
      <c r="D481" t="str">
        <f t="shared" si="7"/>
        <v/>
      </c>
    </row>
    <row r="482" spans="1:4">
      <c r="A482" s="42" t="s">
        <v>544</v>
      </c>
      <c r="B482">
        <f>IFERROR(FIND('Simulador IR 2025'!$I$29, A482), 0)</f>
        <v>1</v>
      </c>
      <c r="C482">
        <f>IF(B482&gt;0, MAX($C$2:C481)+1, "")</f>
        <v>480</v>
      </c>
      <c r="D482" t="str">
        <f t="shared" si="7"/>
        <v/>
      </c>
    </row>
    <row r="483" spans="1:4">
      <c r="A483" s="42" t="s">
        <v>545</v>
      </c>
      <c r="B483">
        <f>IFERROR(FIND('Simulador IR 2025'!$I$29, A483), 0)</f>
        <v>1</v>
      </c>
      <c r="C483">
        <f>IF(B483&gt;0, MAX($C$2:C482)+1, "")</f>
        <v>481</v>
      </c>
      <c r="D483" t="str">
        <f t="shared" si="7"/>
        <v/>
      </c>
    </row>
    <row r="484" spans="1:4">
      <c r="A484" s="42" t="s">
        <v>546</v>
      </c>
      <c r="B484">
        <f>IFERROR(FIND('Simulador IR 2025'!$I$29, A484), 0)</f>
        <v>1</v>
      </c>
      <c r="C484">
        <f>IF(B484&gt;0, MAX($C$2:C483)+1, "")</f>
        <v>482</v>
      </c>
      <c r="D484" t="str">
        <f t="shared" si="7"/>
        <v/>
      </c>
    </row>
    <row r="485" spans="1:4">
      <c r="A485" s="42" t="s">
        <v>547</v>
      </c>
      <c r="B485">
        <f>IFERROR(FIND('Simulador IR 2025'!$I$29, A485), 0)</f>
        <v>1</v>
      </c>
      <c r="C485">
        <f>IF(B485&gt;0, MAX($C$2:C484)+1, "")</f>
        <v>483</v>
      </c>
      <c r="D485" t="str">
        <f t="shared" si="7"/>
        <v/>
      </c>
    </row>
    <row r="486" spans="1:4">
      <c r="A486" s="42" t="s">
        <v>548</v>
      </c>
      <c r="B486">
        <f>IFERROR(FIND('Simulador IR 2025'!$I$29, A486), 0)</f>
        <v>1</v>
      </c>
      <c r="C486">
        <f>IF(B486&gt;0, MAX($C$2:C485)+1, "")</f>
        <v>484</v>
      </c>
      <c r="D486" t="str">
        <f t="shared" si="7"/>
        <v/>
      </c>
    </row>
    <row r="487" spans="1:4">
      <c r="A487" s="42" t="s">
        <v>549</v>
      </c>
      <c r="B487">
        <f>IFERROR(FIND('Simulador IR 2025'!$I$29, A487), 0)</f>
        <v>1</v>
      </c>
      <c r="C487">
        <f>IF(B487&gt;0, MAX($C$2:C486)+1, "")</f>
        <v>485</v>
      </c>
      <c r="D487" t="str">
        <f t="shared" si="7"/>
        <v/>
      </c>
    </row>
    <row r="488" spans="1:4">
      <c r="A488" s="42" t="s">
        <v>550</v>
      </c>
      <c r="B488">
        <f>IFERROR(FIND('Simulador IR 2025'!$I$29, A488), 0)</f>
        <v>1</v>
      </c>
      <c r="C488">
        <f>IF(B488&gt;0, MAX($C$2:C487)+1, "")</f>
        <v>486</v>
      </c>
      <c r="D488" t="str">
        <f t="shared" si="7"/>
        <v/>
      </c>
    </row>
    <row r="489" spans="1:4">
      <c r="A489" s="42" t="s">
        <v>551</v>
      </c>
      <c r="B489">
        <f>IFERROR(FIND('Simulador IR 2025'!$I$29, A489), 0)</f>
        <v>1</v>
      </c>
      <c r="C489">
        <f>IF(B489&gt;0, MAX($C$2:C488)+1, "")</f>
        <v>487</v>
      </c>
      <c r="D489" t="str">
        <f t="shared" si="7"/>
        <v/>
      </c>
    </row>
    <row r="490" spans="1:4">
      <c r="A490" s="42" t="s">
        <v>552</v>
      </c>
      <c r="B490">
        <f>IFERROR(FIND('Simulador IR 2025'!$I$29, A490), 0)</f>
        <v>1</v>
      </c>
      <c r="C490">
        <f>IF(B490&gt;0, MAX($C$2:C489)+1, "")</f>
        <v>488</v>
      </c>
      <c r="D490" t="str">
        <f t="shared" si="7"/>
        <v/>
      </c>
    </row>
    <row r="491" spans="1:4">
      <c r="A491" s="42" t="s">
        <v>553</v>
      </c>
      <c r="B491">
        <f>IFERROR(FIND('Simulador IR 2025'!$I$29, A491), 0)</f>
        <v>1</v>
      </c>
      <c r="C491">
        <f>IF(B491&gt;0, MAX($C$2:C490)+1, "")</f>
        <v>489</v>
      </c>
      <c r="D491" t="str">
        <f t="shared" si="7"/>
        <v/>
      </c>
    </row>
    <row r="492" spans="1:4">
      <c r="A492" s="42" t="s">
        <v>554</v>
      </c>
      <c r="B492">
        <f>IFERROR(FIND('Simulador IR 2025'!$I$29, A492), 0)</f>
        <v>1</v>
      </c>
      <c r="C492">
        <f>IF(B492&gt;0, MAX($C$2:C491)+1, "")</f>
        <v>490</v>
      </c>
      <c r="D492" t="str">
        <f t="shared" si="7"/>
        <v/>
      </c>
    </row>
    <row r="493" spans="1:4">
      <c r="A493" s="42" t="s">
        <v>555</v>
      </c>
      <c r="B493">
        <f>IFERROR(FIND('Simulador IR 2025'!$I$29, A493), 0)</f>
        <v>1</v>
      </c>
      <c r="C493">
        <f>IF(B493&gt;0, MAX($C$2:C492)+1, "")</f>
        <v>491</v>
      </c>
      <c r="D493" t="str">
        <f t="shared" si="7"/>
        <v/>
      </c>
    </row>
    <row r="494" spans="1:4">
      <c r="A494" s="42" t="s">
        <v>556</v>
      </c>
      <c r="B494">
        <f>IFERROR(FIND('Simulador IR 2025'!$I$29, A494), 0)</f>
        <v>1</v>
      </c>
      <c r="C494">
        <f>IF(B494&gt;0, MAX($C$2:C493)+1, "")</f>
        <v>492</v>
      </c>
      <c r="D494" t="str">
        <f t="shared" si="7"/>
        <v/>
      </c>
    </row>
    <row r="495" spans="1:4">
      <c r="A495" s="42" t="s">
        <v>557</v>
      </c>
      <c r="B495">
        <f>IFERROR(FIND('Simulador IR 2025'!$I$29, A495), 0)</f>
        <v>1</v>
      </c>
      <c r="C495">
        <f>IF(B495&gt;0, MAX($C$2:C494)+1, "")</f>
        <v>493</v>
      </c>
      <c r="D495" t="str">
        <f t="shared" si="7"/>
        <v/>
      </c>
    </row>
    <row r="496" spans="1:4">
      <c r="A496" s="42" t="s">
        <v>558</v>
      </c>
      <c r="B496">
        <f>IFERROR(FIND('Simulador IR 2025'!$I$29, A496), 0)</f>
        <v>1</v>
      </c>
      <c r="C496">
        <f>IF(B496&gt;0, MAX($C$2:C495)+1, "")</f>
        <v>494</v>
      </c>
      <c r="D496" t="str">
        <f t="shared" si="7"/>
        <v/>
      </c>
    </row>
    <row r="497" spans="1:4">
      <c r="A497" s="42" t="s">
        <v>559</v>
      </c>
      <c r="B497">
        <f>IFERROR(FIND('Simulador IR 2025'!$I$29, A497), 0)</f>
        <v>1</v>
      </c>
      <c r="C497">
        <f>IF(B497&gt;0, MAX($C$2:C496)+1, "")</f>
        <v>495</v>
      </c>
      <c r="D497" t="str">
        <f t="shared" si="7"/>
        <v/>
      </c>
    </row>
    <row r="498" spans="1:4">
      <c r="A498" s="42" t="s">
        <v>560</v>
      </c>
      <c r="B498">
        <f>IFERROR(FIND('Simulador IR 2025'!$I$29, A498), 0)</f>
        <v>1</v>
      </c>
      <c r="C498">
        <f>IF(B498&gt;0, MAX($C$2:C497)+1, "")</f>
        <v>496</v>
      </c>
      <c r="D498" t="str">
        <f t="shared" si="7"/>
        <v/>
      </c>
    </row>
    <row r="499" spans="1:4">
      <c r="A499" s="42" t="s">
        <v>561</v>
      </c>
      <c r="B499">
        <f>IFERROR(FIND('Simulador IR 2025'!$I$29, A499), 0)</f>
        <v>1</v>
      </c>
      <c r="C499">
        <f>IF(B499&gt;0, MAX($C$2:C498)+1, "")</f>
        <v>497</v>
      </c>
      <c r="D499" t="str">
        <f t="shared" si="7"/>
        <v/>
      </c>
    </row>
    <row r="500" spans="1:4">
      <c r="A500" s="42" t="s">
        <v>562</v>
      </c>
      <c r="B500">
        <f>IFERROR(FIND('Simulador IR 2025'!$I$29, A500), 0)</f>
        <v>1</v>
      </c>
      <c r="C500">
        <f>IF(B500&gt;0, MAX($C$2:C499)+1, "")</f>
        <v>498</v>
      </c>
      <c r="D500" t="str">
        <f t="shared" si="7"/>
        <v/>
      </c>
    </row>
    <row r="501" spans="1:4">
      <c r="A501" s="42" t="s">
        <v>563</v>
      </c>
      <c r="B501">
        <f>IFERROR(FIND('Simulador IR 2025'!$I$29, A501), 0)</f>
        <v>1</v>
      </c>
      <c r="C501">
        <f>IF(B501&gt;0, MAX($C$2:C500)+1, "")</f>
        <v>499</v>
      </c>
      <c r="D501" t="str">
        <f t="shared" si="7"/>
        <v/>
      </c>
    </row>
    <row r="502" spans="1:4">
      <c r="A502" s="42" t="s">
        <v>564</v>
      </c>
      <c r="B502">
        <f>IFERROR(FIND('Simulador IR 2025'!$I$29, A502), 0)</f>
        <v>1</v>
      </c>
      <c r="C502">
        <f>IF(B502&gt;0, MAX($C$2:C501)+1, "")</f>
        <v>500</v>
      </c>
      <c r="D502" t="str">
        <f t="shared" si="7"/>
        <v/>
      </c>
    </row>
    <row r="503" spans="1:4">
      <c r="A503" s="42" t="s">
        <v>565</v>
      </c>
      <c r="B503">
        <f>IFERROR(FIND('Simulador IR 2025'!$I$29, A503), 0)</f>
        <v>1</v>
      </c>
      <c r="C503">
        <f>IF(B503&gt;0, MAX($C$2:C502)+1, "")</f>
        <v>501</v>
      </c>
      <c r="D503" t="str">
        <f t="shared" si="7"/>
        <v/>
      </c>
    </row>
    <row r="504" spans="1:4">
      <c r="A504" s="42" t="s">
        <v>566</v>
      </c>
      <c r="B504">
        <f>IFERROR(FIND('Simulador IR 2025'!$I$29, A504), 0)</f>
        <v>1</v>
      </c>
      <c r="C504">
        <f>IF(B504&gt;0, MAX($C$2:C503)+1, "")</f>
        <v>502</v>
      </c>
      <c r="D504" t="str">
        <f t="shared" si="7"/>
        <v/>
      </c>
    </row>
    <row r="505" spans="1:4">
      <c r="A505" s="42" t="s">
        <v>567</v>
      </c>
      <c r="B505">
        <f>IFERROR(FIND('Simulador IR 2025'!$I$29, A505), 0)</f>
        <v>1</v>
      </c>
      <c r="C505">
        <f>IF(B505&gt;0, MAX($C$2:C504)+1, "")</f>
        <v>503</v>
      </c>
      <c r="D505" t="str">
        <f t="shared" si="7"/>
        <v/>
      </c>
    </row>
    <row r="506" spans="1:4">
      <c r="A506" s="42" t="s">
        <v>568</v>
      </c>
      <c r="B506">
        <f>IFERROR(FIND('Simulador IR 2025'!$I$29, A506), 0)</f>
        <v>1</v>
      </c>
      <c r="C506">
        <f>IF(B506&gt;0, MAX($C$2:C505)+1, "")</f>
        <v>504</v>
      </c>
      <c r="D506" t="str">
        <f t="shared" si="7"/>
        <v/>
      </c>
    </row>
    <row r="507" spans="1:4">
      <c r="A507" s="42" t="s">
        <v>569</v>
      </c>
      <c r="B507">
        <f>IFERROR(FIND('Simulador IR 2025'!$I$29, A507), 0)</f>
        <v>1</v>
      </c>
      <c r="C507">
        <f>IF(B507&gt;0, MAX($C$2:C506)+1, "")</f>
        <v>505</v>
      </c>
      <c r="D507" t="str">
        <f t="shared" si="7"/>
        <v/>
      </c>
    </row>
    <row r="508" spans="1:4">
      <c r="A508" s="42" t="s">
        <v>570</v>
      </c>
      <c r="B508">
        <f>IFERROR(FIND('Simulador IR 2025'!$I$29, A508), 0)</f>
        <v>1</v>
      </c>
      <c r="C508">
        <f>IF(B508&gt;0, MAX($C$2:C507)+1, "")</f>
        <v>506</v>
      </c>
      <c r="D508" t="str">
        <f t="shared" si="7"/>
        <v/>
      </c>
    </row>
    <row r="509" spans="1:4">
      <c r="A509" s="42" t="s">
        <v>571</v>
      </c>
      <c r="B509">
        <f>IFERROR(FIND('Simulador IR 2025'!$I$29, A509), 0)</f>
        <v>1</v>
      </c>
      <c r="C509">
        <f>IF(B509&gt;0, MAX($C$2:C508)+1, "")</f>
        <v>507</v>
      </c>
      <c r="D509" t="str">
        <f t="shared" si="7"/>
        <v/>
      </c>
    </row>
    <row r="510" spans="1:4">
      <c r="A510" s="42" t="s">
        <v>572</v>
      </c>
      <c r="B510">
        <f>IFERROR(FIND('Simulador IR 2025'!$I$29, A510), 0)</f>
        <v>1</v>
      </c>
      <c r="C510">
        <f>IF(B510&gt;0, MAX($C$2:C509)+1, "")</f>
        <v>508</v>
      </c>
      <c r="D510" t="str">
        <f t="shared" si="7"/>
        <v/>
      </c>
    </row>
    <row r="511" spans="1:4">
      <c r="A511" s="42" t="s">
        <v>573</v>
      </c>
      <c r="B511">
        <f>IFERROR(FIND('Simulador IR 2025'!$I$29, A511), 0)</f>
        <v>1</v>
      </c>
      <c r="C511">
        <f>IF(B511&gt;0, MAX($C$2:C510)+1, "")</f>
        <v>509</v>
      </c>
      <c r="D511" t="str">
        <f t="shared" si="7"/>
        <v/>
      </c>
    </row>
    <row r="512" spans="1:4">
      <c r="A512" s="42" t="s">
        <v>574</v>
      </c>
      <c r="B512">
        <f>IFERROR(FIND('Simulador IR 2025'!$I$29, A512), 0)</f>
        <v>1</v>
      </c>
      <c r="C512">
        <f>IF(B512&gt;0, MAX($C$2:C511)+1, "")</f>
        <v>510</v>
      </c>
      <c r="D512" t="str">
        <f t="shared" si="7"/>
        <v/>
      </c>
    </row>
    <row r="513" spans="1:4">
      <c r="A513" s="42" t="s">
        <v>575</v>
      </c>
      <c r="B513">
        <f>IFERROR(FIND('Simulador IR 2025'!$I$29, A513), 0)</f>
        <v>1</v>
      </c>
      <c r="C513">
        <f>IF(B513&gt;0, MAX($C$2:C512)+1, "")</f>
        <v>511</v>
      </c>
      <c r="D513" t="str">
        <f t="shared" si="7"/>
        <v/>
      </c>
    </row>
    <row r="514" spans="1:4">
      <c r="A514" s="42" t="s">
        <v>576</v>
      </c>
      <c r="B514">
        <f>IFERROR(FIND('Simulador IR 2025'!$I$29, A514), 0)</f>
        <v>1</v>
      </c>
      <c r="C514">
        <f>IF(B514&gt;0, MAX($C$2:C513)+1, "")</f>
        <v>512</v>
      </c>
      <c r="D514" t="str">
        <f t="shared" si="7"/>
        <v/>
      </c>
    </row>
    <row r="515" spans="1:4">
      <c r="A515" s="42" t="s">
        <v>577</v>
      </c>
      <c r="B515">
        <f>IFERROR(FIND('Simulador IR 2025'!$I$29, A515), 0)</f>
        <v>1</v>
      </c>
      <c r="C515">
        <f>IF(B515&gt;0, MAX($C$2:C514)+1, "")</f>
        <v>513</v>
      </c>
      <c r="D515" t="str">
        <f t="shared" si="7"/>
        <v/>
      </c>
    </row>
    <row r="516" spans="1:4">
      <c r="A516" s="42" t="s">
        <v>578</v>
      </c>
      <c r="B516">
        <f>IFERROR(FIND('Simulador IR 2025'!$I$29, A516), 0)</f>
        <v>1</v>
      </c>
      <c r="C516">
        <f>IF(B516&gt;0, MAX($C$2:C515)+1, "")</f>
        <v>514</v>
      </c>
      <c r="D516" t="str">
        <f t="shared" ref="D516:D579" si="8">IFERROR(VLOOKUP(ROW(A514), $A$3:$C$2681, -2, FALSE), "")</f>
        <v/>
      </c>
    </row>
    <row r="517" spans="1:4">
      <c r="A517" s="42" t="s">
        <v>579</v>
      </c>
      <c r="B517">
        <f>IFERROR(FIND('Simulador IR 2025'!$I$29, A517), 0)</f>
        <v>1</v>
      </c>
      <c r="C517">
        <f>IF(B517&gt;0, MAX($C$2:C516)+1, "")</f>
        <v>515</v>
      </c>
      <c r="D517" t="str">
        <f t="shared" si="8"/>
        <v/>
      </c>
    </row>
    <row r="518" spans="1:4">
      <c r="A518" s="42" t="s">
        <v>580</v>
      </c>
      <c r="B518">
        <f>IFERROR(FIND('Simulador IR 2025'!$I$29, A518), 0)</f>
        <v>1</v>
      </c>
      <c r="C518">
        <f>IF(B518&gt;0, MAX($C$2:C517)+1, "")</f>
        <v>516</v>
      </c>
      <c r="D518" t="str">
        <f t="shared" si="8"/>
        <v/>
      </c>
    </row>
    <row r="519" spans="1:4">
      <c r="A519" s="42" t="s">
        <v>581</v>
      </c>
      <c r="B519">
        <f>IFERROR(FIND('Simulador IR 2025'!$I$29, A519), 0)</f>
        <v>1</v>
      </c>
      <c r="C519">
        <f>IF(B519&gt;0, MAX($C$2:C518)+1, "")</f>
        <v>517</v>
      </c>
      <c r="D519" t="str">
        <f t="shared" si="8"/>
        <v/>
      </c>
    </row>
    <row r="520" spans="1:4">
      <c r="A520" s="42" t="s">
        <v>582</v>
      </c>
      <c r="B520">
        <f>IFERROR(FIND('Simulador IR 2025'!$I$29, A520), 0)</f>
        <v>1</v>
      </c>
      <c r="C520">
        <f>IF(B520&gt;0, MAX($C$2:C519)+1, "")</f>
        <v>518</v>
      </c>
      <c r="D520" t="str">
        <f t="shared" si="8"/>
        <v/>
      </c>
    </row>
    <row r="521" spans="1:4">
      <c r="A521" s="42" t="s">
        <v>583</v>
      </c>
      <c r="B521">
        <f>IFERROR(FIND('Simulador IR 2025'!$I$29, A521), 0)</f>
        <v>1</v>
      </c>
      <c r="C521">
        <f>IF(B521&gt;0, MAX($C$2:C520)+1, "")</f>
        <v>519</v>
      </c>
      <c r="D521" t="str">
        <f t="shared" si="8"/>
        <v/>
      </c>
    </row>
    <row r="522" spans="1:4">
      <c r="A522" s="42" t="s">
        <v>584</v>
      </c>
      <c r="B522">
        <f>IFERROR(FIND('Simulador IR 2025'!$I$29, A522), 0)</f>
        <v>1</v>
      </c>
      <c r="C522">
        <f>IF(B522&gt;0, MAX($C$2:C521)+1, "")</f>
        <v>520</v>
      </c>
      <c r="D522" t="str">
        <f t="shared" si="8"/>
        <v/>
      </c>
    </row>
    <row r="523" spans="1:4">
      <c r="A523" s="42" t="s">
        <v>585</v>
      </c>
      <c r="B523">
        <f>IFERROR(FIND('Simulador IR 2025'!$I$29, A523), 0)</f>
        <v>1</v>
      </c>
      <c r="C523">
        <f>IF(B523&gt;0, MAX($C$2:C522)+1, "")</f>
        <v>521</v>
      </c>
      <c r="D523" t="str">
        <f t="shared" si="8"/>
        <v/>
      </c>
    </row>
    <row r="524" spans="1:4">
      <c r="A524" s="42" t="s">
        <v>586</v>
      </c>
      <c r="B524">
        <f>IFERROR(FIND('Simulador IR 2025'!$I$29, A524), 0)</f>
        <v>1</v>
      </c>
      <c r="C524">
        <f>IF(B524&gt;0, MAX($C$2:C523)+1, "")</f>
        <v>522</v>
      </c>
      <c r="D524" t="str">
        <f t="shared" si="8"/>
        <v/>
      </c>
    </row>
    <row r="525" spans="1:4">
      <c r="A525" s="42" t="s">
        <v>587</v>
      </c>
      <c r="B525">
        <f>IFERROR(FIND('Simulador IR 2025'!$I$29, A525), 0)</f>
        <v>1</v>
      </c>
      <c r="C525">
        <f>IF(B525&gt;0, MAX($C$2:C524)+1, "")</f>
        <v>523</v>
      </c>
      <c r="D525" t="str">
        <f t="shared" si="8"/>
        <v/>
      </c>
    </row>
    <row r="526" spans="1:4">
      <c r="A526" s="42" t="s">
        <v>588</v>
      </c>
      <c r="B526">
        <f>IFERROR(FIND('Simulador IR 2025'!$I$29, A526), 0)</f>
        <v>1</v>
      </c>
      <c r="C526">
        <f>IF(B526&gt;0, MAX($C$2:C525)+1, "")</f>
        <v>524</v>
      </c>
      <c r="D526" t="str">
        <f t="shared" si="8"/>
        <v/>
      </c>
    </row>
    <row r="527" spans="1:4">
      <c r="A527" s="42" t="s">
        <v>589</v>
      </c>
      <c r="B527">
        <f>IFERROR(FIND('Simulador IR 2025'!$I$29, A527), 0)</f>
        <v>1</v>
      </c>
      <c r="C527">
        <f>IF(B527&gt;0, MAX($C$2:C526)+1, "")</f>
        <v>525</v>
      </c>
      <c r="D527" t="str">
        <f t="shared" si="8"/>
        <v/>
      </c>
    </row>
    <row r="528" spans="1:4">
      <c r="A528" s="42" t="s">
        <v>590</v>
      </c>
      <c r="B528">
        <f>IFERROR(FIND('Simulador IR 2025'!$I$29, A528), 0)</f>
        <v>1</v>
      </c>
      <c r="C528">
        <f>IF(B528&gt;0, MAX($C$2:C527)+1, "")</f>
        <v>526</v>
      </c>
      <c r="D528" t="str">
        <f t="shared" si="8"/>
        <v/>
      </c>
    </row>
    <row r="529" spans="1:4">
      <c r="A529" s="42" t="s">
        <v>591</v>
      </c>
      <c r="B529">
        <f>IFERROR(FIND('Simulador IR 2025'!$I$29, A529), 0)</f>
        <v>1</v>
      </c>
      <c r="C529">
        <f>IF(B529&gt;0, MAX($C$2:C528)+1, "")</f>
        <v>527</v>
      </c>
      <c r="D529" t="str">
        <f t="shared" si="8"/>
        <v/>
      </c>
    </row>
    <row r="530" spans="1:4">
      <c r="A530" s="42" t="s">
        <v>592</v>
      </c>
      <c r="B530">
        <f>IFERROR(FIND('Simulador IR 2025'!$I$29, A530), 0)</f>
        <v>1</v>
      </c>
      <c r="C530">
        <f>IF(B530&gt;0, MAX($C$2:C529)+1, "")</f>
        <v>528</v>
      </c>
      <c r="D530" t="str">
        <f t="shared" si="8"/>
        <v/>
      </c>
    </row>
    <row r="531" spans="1:4">
      <c r="A531" s="42" t="s">
        <v>593</v>
      </c>
      <c r="B531">
        <f>IFERROR(FIND('Simulador IR 2025'!$I$29, A531), 0)</f>
        <v>1</v>
      </c>
      <c r="C531">
        <f>IF(B531&gt;0, MAX($C$2:C530)+1, "")</f>
        <v>529</v>
      </c>
      <c r="D531" t="str">
        <f t="shared" si="8"/>
        <v/>
      </c>
    </row>
    <row r="532" spans="1:4">
      <c r="A532" s="42" t="s">
        <v>594</v>
      </c>
      <c r="B532">
        <f>IFERROR(FIND('Simulador IR 2025'!$I$29, A532), 0)</f>
        <v>1</v>
      </c>
      <c r="C532">
        <f>IF(B532&gt;0, MAX($C$2:C531)+1, "")</f>
        <v>530</v>
      </c>
      <c r="D532" t="str">
        <f t="shared" si="8"/>
        <v/>
      </c>
    </row>
    <row r="533" spans="1:4">
      <c r="A533" s="42" t="s">
        <v>595</v>
      </c>
      <c r="B533">
        <f>IFERROR(FIND('Simulador IR 2025'!$I$29, A533), 0)</f>
        <v>1</v>
      </c>
      <c r="C533">
        <f>IF(B533&gt;0, MAX($C$2:C532)+1, "")</f>
        <v>531</v>
      </c>
      <c r="D533" t="str">
        <f t="shared" si="8"/>
        <v/>
      </c>
    </row>
    <row r="534" spans="1:4">
      <c r="A534" s="42" t="s">
        <v>596</v>
      </c>
      <c r="B534">
        <f>IFERROR(FIND('Simulador IR 2025'!$I$29, A534), 0)</f>
        <v>1</v>
      </c>
      <c r="C534">
        <f>IF(B534&gt;0, MAX($C$2:C533)+1, "")</f>
        <v>532</v>
      </c>
      <c r="D534" t="str">
        <f t="shared" si="8"/>
        <v/>
      </c>
    </row>
    <row r="535" spans="1:4">
      <c r="A535" s="42" t="s">
        <v>597</v>
      </c>
      <c r="B535">
        <f>IFERROR(FIND('Simulador IR 2025'!$I$29, A535), 0)</f>
        <v>1</v>
      </c>
      <c r="C535">
        <f>IF(B535&gt;0, MAX($C$2:C534)+1, "")</f>
        <v>533</v>
      </c>
      <c r="D535" t="str">
        <f t="shared" si="8"/>
        <v/>
      </c>
    </row>
    <row r="536" spans="1:4">
      <c r="A536" s="42" t="s">
        <v>598</v>
      </c>
      <c r="B536">
        <f>IFERROR(FIND('Simulador IR 2025'!$I$29, A536), 0)</f>
        <v>1</v>
      </c>
      <c r="C536">
        <f>IF(B536&gt;0, MAX($C$2:C535)+1, "")</f>
        <v>534</v>
      </c>
      <c r="D536" t="str">
        <f t="shared" si="8"/>
        <v/>
      </c>
    </row>
    <row r="537" spans="1:4">
      <c r="A537" s="42" t="s">
        <v>599</v>
      </c>
      <c r="B537">
        <f>IFERROR(FIND('Simulador IR 2025'!$I$29, A537), 0)</f>
        <v>1</v>
      </c>
      <c r="C537">
        <f>IF(B537&gt;0, MAX($C$2:C536)+1, "")</f>
        <v>535</v>
      </c>
      <c r="D537" t="str">
        <f t="shared" si="8"/>
        <v/>
      </c>
    </row>
    <row r="538" spans="1:4">
      <c r="A538" s="42" t="s">
        <v>600</v>
      </c>
      <c r="B538">
        <f>IFERROR(FIND('Simulador IR 2025'!$I$29, A538), 0)</f>
        <v>1</v>
      </c>
      <c r="C538">
        <f>IF(B538&gt;0, MAX($C$2:C537)+1, "")</f>
        <v>536</v>
      </c>
      <c r="D538" t="str">
        <f t="shared" si="8"/>
        <v/>
      </c>
    </row>
    <row r="539" spans="1:4">
      <c r="A539" s="42" t="s">
        <v>601</v>
      </c>
      <c r="B539">
        <f>IFERROR(FIND('Simulador IR 2025'!$I$29, A539), 0)</f>
        <v>1</v>
      </c>
      <c r="C539">
        <f>IF(B539&gt;0, MAX($C$2:C538)+1, "")</f>
        <v>537</v>
      </c>
      <c r="D539" t="str">
        <f t="shared" si="8"/>
        <v/>
      </c>
    </row>
    <row r="540" spans="1:4">
      <c r="A540" s="42" t="s">
        <v>602</v>
      </c>
      <c r="B540">
        <f>IFERROR(FIND('Simulador IR 2025'!$I$29, A540), 0)</f>
        <v>1</v>
      </c>
      <c r="C540">
        <f>IF(B540&gt;0, MAX($C$2:C539)+1, "")</f>
        <v>538</v>
      </c>
      <c r="D540" t="str">
        <f t="shared" si="8"/>
        <v/>
      </c>
    </row>
    <row r="541" spans="1:4">
      <c r="A541" s="42" t="s">
        <v>603</v>
      </c>
      <c r="B541">
        <f>IFERROR(FIND('Simulador IR 2025'!$I$29, A541), 0)</f>
        <v>1</v>
      </c>
      <c r="C541">
        <f>IF(B541&gt;0, MAX($C$2:C540)+1, "")</f>
        <v>539</v>
      </c>
      <c r="D541" t="str">
        <f t="shared" si="8"/>
        <v/>
      </c>
    </row>
    <row r="542" spans="1:4">
      <c r="A542" s="42" t="s">
        <v>604</v>
      </c>
      <c r="B542">
        <f>IFERROR(FIND('Simulador IR 2025'!$I$29, A542), 0)</f>
        <v>1</v>
      </c>
      <c r="C542">
        <f>IF(B542&gt;0, MAX($C$2:C541)+1, "")</f>
        <v>540</v>
      </c>
      <c r="D542" t="str">
        <f t="shared" si="8"/>
        <v/>
      </c>
    </row>
    <row r="543" spans="1:4">
      <c r="A543" s="42" t="s">
        <v>605</v>
      </c>
      <c r="B543">
        <f>IFERROR(FIND('Simulador IR 2025'!$I$29, A543), 0)</f>
        <v>1</v>
      </c>
      <c r="C543">
        <f>IF(B543&gt;0, MAX($C$2:C542)+1, "")</f>
        <v>541</v>
      </c>
      <c r="D543" t="str">
        <f t="shared" si="8"/>
        <v/>
      </c>
    </row>
    <row r="544" spans="1:4">
      <c r="A544" s="42" t="s">
        <v>606</v>
      </c>
      <c r="B544">
        <f>IFERROR(FIND('Simulador IR 2025'!$I$29, A544), 0)</f>
        <v>1</v>
      </c>
      <c r="C544">
        <f>IF(B544&gt;0, MAX($C$2:C543)+1, "")</f>
        <v>542</v>
      </c>
      <c r="D544" t="str">
        <f t="shared" si="8"/>
        <v/>
      </c>
    </row>
    <row r="545" spans="1:4">
      <c r="A545" s="42" t="s">
        <v>607</v>
      </c>
      <c r="B545">
        <f>IFERROR(FIND('Simulador IR 2025'!$I$29, A545), 0)</f>
        <v>1</v>
      </c>
      <c r="C545">
        <f>IF(B545&gt;0, MAX($C$2:C544)+1, "")</f>
        <v>543</v>
      </c>
      <c r="D545" t="str">
        <f t="shared" si="8"/>
        <v/>
      </c>
    </row>
    <row r="546" spans="1:4">
      <c r="A546" s="42" t="s">
        <v>608</v>
      </c>
      <c r="B546">
        <f>IFERROR(FIND('Simulador IR 2025'!$I$29, A546), 0)</f>
        <v>1</v>
      </c>
      <c r="C546">
        <f>IF(B546&gt;0, MAX($C$2:C545)+1, "")</f>
        <v>544</v>
      </c>
      <c r="D546" t="str">
        <f t="shared" si="8"/>
        <v/>
      </c>
    </row>
    <row r="547" spans="1:4">
      <c r="A547" s="42" t="s">
        <v>609</v>
      </c>
      <c r="B547">
        <f>IFERROR(FIND('Simulador IR 2025'!$I$29, A547), 0)</f>
        <v>1</v>
      </c>
      <c r="C547">
        <f>IF(B547&gt;0, MAX($C$2:C546)+1, "")</f>
        <v>545</v>
      </c>
      <c r="D547" t="str">
        <f t="shared" si="8"/>
        <v/>
      </c>
    </row>
    <row r="548" spans="1:4">
      <c r="A548" s="42" t="s">
        <v>610</v>
      </c>
      <c r="B548">
        <f>IFERROR(FIND('Simulador IR 2025'!$I$29, A548), 0)</f>
        <v>1</v>
      </c>
      <c r="C548">
        <f>IF(B548&gt;0, MAX($C$2:C547)+1, "")</f>
        <v>546</v>
      </c>
      <c r="D548" t="str">
        <f t="shared" si="8"/>
        <v/>
      </c>
    </row>
    <row r="549" spans="1:4">
      <c r="A549" s="42" t="s">
        <v>611</v>
      </c>
      <c r="B549">
        <f>IFERROR(FIND('Simulador IR 2025'!$I$29, A549), 0)</f>
        <v>1</v>
      </c>
      <c r="C549">
        <f>IF(B549&gt;0, MAX($C$2:C548)+1, "")</f>
        <v>547</v>
      </c>
      <c r="D549" t="str">
        <f t="shared" si="8"/>
        <v/>
      </c>
    </row>
    <row r="550" spans="1:4">
      <c r="A550" s="42" t="s">
        <v>612</v>
      </c>
      <c r="B550">
        <f>IFERROR(FIND('Simulador IR 2025'!$I$29, A550), 0)</f>
        <v>1</v>
      </c>
      <c r="C550">
        <f>IF(B550&gt;0, MAX($C$2:C549)+1, "")</f>
        <v>548</v>
      </c>
      <c r="D550" t="str">
        <f t="shared" si="8"/>
        <v/>
      </c>
    </row>
    <row r="551" spans="1:4">
      <c r="A551" s="42" t="s">
        <v>613</v>
      </c>
      <c r="B551">
        <f>IFERROR(FIND('Simulador IR 2025'!$I$29, A551), 0)</f>
        <v>1</v>
      </c>
      <c r="C551">
        <f>IF(B551&gt;0, MAX($C$2:C550)+1, "")</f>
        <v>549</v>
      </c>
      <c r="D551" t="str">
        <f t="shared" si="8"/>
        <v/>
      </c>
    </row>
    <row r="552" spans="1:4">
      <c r="A552" s="42" t="s">
        <v>614</v>
      </c>
      <c r="B552">
        <f>IFERROR(FIND('Simulador IR 2025'!$I$29, A552), 0)</f>
        <v>1</v>
      </c>
      <c r="C552">
        <f>IF(B552&gt;0, MAX($C$2:C551)+1, "")</f>
        <v>550</v>
      </c>
      <c r="D552" t="str">
        <f t="shared" si="8"/>
        <v/>
      </c>
    </row>
    <row r="553" spans="1:4">
      <c r="A553" s="42" t="s">
        <v>615</v>
      </c>
      <c r="B553">
        <f>IFERROR(FIND('Simulador IR 2025'!$I$29, A553), 0)</f>
        <v>1</v>
      </c>
      <c r="C553">
        <f>IF(B553&gt;0, MAX($C$2:C552)+1, "")</f>
        <v>551</v>
      </c>
      <c r="D553" t="str">
        <f t="shared" si="8"/>
        <v/>
      </c>
    </row>
    <row r="554" spans="1:4">
      <c r="A554" s="42" t="s">
        <v>616</v>
      </c>
      <c r="B554">
        <f>IFERROR(FIND('Simulador IR 2025'!$I$29, A554), 0)</f>
        <v>1</v>
      </c>
      <c r="C554">
        <f>IF(B554&gt;0, MAX($C$2:C553)+1, "")</f>
        <v>552</v>
      </c>
      <c r="D554" t="str">
        <f t="shared" si="8"/>
        <v/>
      </c>
    </row>
    <row r="555" spans="1:4">
      <c r="A555" s="42" t="s">
        <v>617</v>
      </c>
      <c r="B555">
        <f>IFERROR(FIND('Simulador IR 2025'!$I$29, A555), 0)</f>
        <v>1</v>
      </c>
      <c r="C555">
        <f>IF(B555&gt;0, MAX($C$2:C554)+1, "")</f>
        <v>553</v>
      </c>
      <c r="D555" t="str">
        <f t="shared" si="8"/>
        <v/>
      </c>
    </row>
    <row r="556" spans="1:4">
      <c r="A556" s="42" t="s">
        <v>618</v>
      </c>
      <c r="B556">
        <f>IFERROR(FIND('Simulador IR 2025'!$I$29, A556), 0)</f>
        <v>1</v>
      </c>
      <c r="C556">
        <f>IF(B556&gt;0, MAX($C$2:C555)+1, "")</f>
        <v>554</v>
      </c>
      <c r="D556" t="str">
        <f t="shared" si="8"/>
        <v/>
      </c>
    </row>
    <row r="557" spans="1:4">
      <c r="A557" s="42" t="s">
        <v>619</v>
      </c>
      <c r="B557">
        <f>IFERROR(FIND('Simulador IR 2025'!$I$29, A557), 0)</f>
        <v>1</v>
      </c>
      <c r="C557">
        <f>IF(B557&gt;0, MAX($C$2:C556)+1, "")</f>
        <v>555</v>
      </c>
      <c r="D557" t="str">
        <f t="shared" si="8"/>
        <v/>
      </c>
    </row>
    <row r="558" spans="1:4">
      <c r="A558" s="42" t="s">
        <v>620</v>
      </c>
      <c r="B558">
        <f>IFERROR(FIND('Simulador IR 2025'!$I$29, A558), 0)</f>
        <v>1</v>
      </c>
      <c r="C558">
        <f>IF(B558&gt;0, MAX($C$2:C557)+1, "")</f>
        <v>556</v>
      </c>
      <c r="D558" t="str">
        <f t="shared" si="8"/>
        <v/>
      </c>
    </row>
    <row r="559" spans="1:4">
      <c r="A559" s="42" t="s">
        <v>621</v>
      </c>
      <c r="B559">
        <f>IFERROR(FIND('Simulador IR 2025'!$I$29, A559), 0)</f>
        <v>1</v>
      </c>
      <c r="C559">
        <f>IF(B559&gt;0, MAX($C$2:C558)+1, "")</f>
        <v>557</v>
      </c>
      <c r="D559" t="str">
        <f t="shared" si="8"/>
        <v/>
      </c>
    </row>
    <row r="560" spans="1:4">
      <c r="A560" s="42" t="s">
        <v>622</v>
      </c>
      <c r="B560">
        <f>IFERROR(FIND('Simulador IR 2025'!$I$29, A560), 0)</f>
        <v>1</v>
      </c>
      <c r="C560">
        <f>IF(B560&gt;0, MAX($C$2:C559)+1, "")</f>
        <v>558</v>
      </c>
      <c r="D560" t="str">
        <f t="shared" si="8"/>
        <v/>
      </c>
    </row>
    <row r="561" spans="1:4">
      <c r="A561" s="42" t="s">
        <v>623</v>
      </c>
      <c r="B561">
        <f>IFERROR(FIND('Simulador IR 2025'!$I$29, A561), 0)</f>
        <v>1</v>
      </c>
      <c r="C561">
        <f>IF(B561&gt;0, MAX($C$2:C560)+1, "")</f>
        <v>559</v>
      </c>
      <c r="D561" t="str">
        <f t="shared" si="8"/>
        <v/>
      </c>
    </row>
    <row r="562" spans="1:4">
      <c r="A562" s="42" t="s">
        <v>624</v>
      </c>
      <c r="B562">
        <f>IFERROR(FIND('Simulador IR 2025'!$I$29, A562), 0)</f>
        <v>1</v>
      </c>
      <c r="C562">
        <f>IF(B562&gt;0, MAX($C$2:C561)+1, "")</f>
        <v>560</v>
      </c>
      <c r="D562" t="str">
        <f t="shared" si="8"/>
        <v/>
      </c>
    </row>
    <row r="563" spans="1:4">
      <c r="A563" s="42" t="s">
        <v>625</v>
      </c>
      <c r="B563">
        <f>IFERROR(FIND('Simulador IR 2025'!$I$29, A563), 0)</f>
        <v>1</v>
      </c>
      <c r="C563">
        <f>IF(B563&gt;0, MAX($C$2:C562)+1, "")</f>
        <v>561</v>
      </c>
      <c r="D563" t="str">
        <f t="shared" si="8"/>
        <v/>
      </c>
    </row>
    <row r="564" spans="1:4">
      <c r="A564" s="42" t="s">
        <v>626</v>
      </c>
      <c r="B564">
        <f>IFERROR(FIND('Simulador IR 2025'!$I$29, A564), 0)</f>
        <v>1</v>
      </c>
      <c r="C564">
        <f>IF(B564&gt;0, MAX($C$2:C563)+1, "")</f>
        <v>562</v>
      </c>
      <c r="D564" t="str">
        <f t="shared" si="8"/>
        <v/>
      </c>
    </row>
    <row r="565" spans="1:4">
      <c r="A565" s="42" t="s">
        <v>627</v>
      </c>
      <c r="B565">
        <f>IFERROR(FIND('Simulador IR 2025'!$I$29, A565), 0)</f>
        <v>1</v>
      </c>
      <c r="C565">
        <f>IF(B565&gt;0, MAX($C$2:C564)+1, "")</f>
        <v>563</v>
      </c>
      <c r="D565" t="str">
        <f t="shared" si="8"/>
        <v/>
      </c>
    </row>
    <row r="566" spans="1:4">
      <c r="A566" s="42" t="s">
        <v>628</v>
      </c>
      <c r="B566">
        <f>IFERROR(FIND('Simulador IR 2025'!$I$29, A566), 0)</f>
        <v>1</v>
      </c>
      <c r="C566">
        <f>IF(B566&gt;0, MAX($C$2:C565)+1, "")</f>
        <v>564</v>
      </c>
      <c r="D566" t="str">
        <f t="shared" si="8"/>
        <v/>
      </c>
    </row>
    <row r="567" spans="1:4">
      <c r="A567" s="42" t="s">
        <v>629</v>
      </c>
      <c r="B567">
        <f>IFERROR(FIND('Simulador IR 2025'!$I$29, A567), 0)</f>
        <v>1</v>
      </c>
      <c r="C567">
        <f>IF(B567&gt;0, MAX($C$2:C566)+1, "")</f>
        <v>565</v>
      </c>
      <c r="D567" t="str">
        <f t="shared" si="8"/>
        <v/>
      </c>
    </row>
    <row r="568" spans="1:4">
      <c r="A568" s="42" t="s">
        <v>630</v>
      </c>
      <c r="B568">
        <f>IFERROR(FIND('Simulador IR 2025'!$I$29, A568), 0)</f>
        <v>1</v>
      </c>
      <c r="C568">
        <f>IF(B568&gt;0, MAX($C$2:C567)+1, "")</f>
        <v>566</v>
      </c>
      <c r="D568" t="str">
        <f t="shared" si="8"/>
        <v/>
      </c>
    </row>
    <row r="569" spans="1:4">
      <c r="A569" s="42" t="s">
        <v>631</v>
      </c>
      <c r="B569">
        <f>IFERROR(FIND('Simulador IR 2025'!$I$29, A569), 0)</f>
        <v>1</v>
      </c>
      <c r="C569">
        <f>IF(B569&gt;0, MAX($C$2:C568)+1, "")</f>
        <v>567</v>
      </c>
      <c r="D569" t="str">
        <f t="shared" si="8"/>
        <v/>
      </c>
    </row>
    <row r="570" spans="1:4">
      <c r="A570" s="42" t="s">
        <v>632</v>
      </c>
      <c r="B570">
        <f>IFERROR(FIND('Simulador IR 2025'!$I$29, A570), 0)</f>
        <v>1</v>
      </c>
      <c r="C570">
        <f>IF(B570&gt;0, MAX($C$2:C569)+1, "")</f>
        <v>568</v>
      </c>
      <c r="D570" t="str">
        <f t="shared" si="8"/>
        <v/>
      </c>
    </row>
    <row r="571" spans="1:4">
      <c r="A571" s="42" t="s">
        <v>633</v>
      </c>
      <c r="B571">
        <f>IFERROR(FIND('Simulador IR 2025'!$I$29, A571), 0)</f>
        <v>1</v>
      </c>
      <c r="C571">
        <f>IF(B571&gt;0, MAX($C$2:C570)+1, "")</f>
        <v>569</v>
      </c>
      <c r="D571" t="str">
        <f t="shared" si="8"/>
        <v/>
      </c>
    </row>
    <row r="572" spans="1:4">
      <c r="A572" s="42" t="s">
        <v>634</v>
      </c>
      <c r="B572">
        <f>IFERROR(FIND('Simulador IR 2025'!$I$29, A572), 0)</f>
        <v>1</v>
      </c>
      <c r="C572">
        <f>IF(B572&gt;0, MAX($C$2:C571)+1, "")</f>
        <v>570</v>
      </c>
      <c r="D572" t="str">
        <f t="shared" si="8"/>
        <v/>
      </c>
    </row>
    <row r="573" spans="1:4">
      <c r="A573" s="42" t="s">
        <v>635</v>
      </c>
      <c r="B573">
        <f>IFERROR(FIND('Simulador IR 2025'!$I$29, A573), 0)</f>
        <v>1</v>
      </c>
      <c r="C573">
        <f>IF(B573&gt;0, MAX($C$2:C572)+1, "")</f>
        <v>571</v>
      </c>
      <c r="D573" t="str">
        <f t="shared" si="8"/>
        <v/>
      </c>
    </row>
    <row r="574" spans="1:4">
      <c r="A574" s="42" t="s">
        <v>636</v>
      </c>
      <c r="B574">
        <f>IFERROR(FIND('Simulador IR 2025'!$I$29, A574), 0)</f>
        <v>1</v>
      </c>
      <c r="C574">
        <f>IF(B574&gt;0, MAX($C$2:C573)+1, "")</f>
        <v>572</v>
      </c>
      <c r="D574" t="str">
        <f t="shared" si="8"/>
        <v/>
      </c>
    </row>
    <row r="575" spans="1:4">
      <c r="A575" s="42" t="s">
        <v>637</v>
      </c>
      <c r="B575">
        <f>IFERROR(FIND('Simulador IR 2025'!$I$29, A575), 0)</f>
        <v>1</v>
      </c>
      <c r="C575">
        <f>IF(B575&gt;0, MAX($C$2:C574)+1, "")</f>
        <v>573</v>
      </c>
      <c r="D575" t="str">
        <f t="shared" si="8"/>
        <v/>
      </c>
    </row>
    <row r="576" spans="1:4">
      <c r="A576" s="42" t="s">
        <v>638</v>
      </c>
      <c r="B576">
        <f>IFERROR(FIND('Simulador IR 2025'!$I$29, A576), 0)</f>
        <v>1</v>
      </c>
      <c r="C576">
        <f>IF(B576&gt;0, MAX($C$2:C575)+1, "")</f>
        <v>574</v>
      </c>
      <c r="D576" t="str">
        <f t="shared" si="8"/>
        <v/>
      </c>
    </row>
    <row r="577" spans="1:4">
      <c r="A577" s="42" t="s">
        <v>639</v>
      </c>
      <c r="B577">
        <f>IFERROR(FIND('Simulador IR 2025'!$I$29, A577), 0)</f>
        <v>1</v>
      </c>
      <c r="C577">
        <f>IF(B577&gt;0, MAX($C$2:C576)+1, "")</f>
        <v>575</v>
      </c>
      <c r="D577" t="str">
        <f t="shared" si="8"/>
        <v/>
      </c>
    </row>
    <row r="578" spans="1:4">
      <c r="A578" s="42" t="s">
        <v>640</v>
      </c>
      <c r="B578">
        <f>IFERROR(FIND('Simulador IR 2025'!$I$29, A578), 0)</f>
        <v>1</v>
      </c>
      <c r="C578">
        <f>IF(B578&gt;0, MAX($C$2:C577)+1, "")</f>
        <v>576</v>
      </c>
      <c r="D578" t="str">
        <f t="shared" si="8"/>
        <v/>
      </c>
    </row>
    <row r="579" spans="1:4">
      <c r="A579" s="42" t="s">
        <v>641</v>
      </c>
      <c r="B579">
        <f>IFERROR(FIND('Simulador IR 2025'!$I$29, A579), 0)</f>
        <v>1</v>
      </c>
      <c r="C579">
        <f>IF(B579&gt;0, MAX($C$2:C578)+1, "")</f>
        <v>577</v>
      </c>
      <c r="D579" t="str">
        <f t="shared" si="8"/>
        <v/>
      </c>
    </row>
    <row r="580" spans="1:4">
      <c r="A580" s="42" t="s">
        <v>642</v>
      </c>
      <c r="B580">
        <f>IFERROR(FIND('Simulador IR 2025'!$I$29, A580), 0)</f>
        <v>1</v>
      </c>
      <c r="C580">
        <f>IF(B580&gt;0, MAX($C$2:C579)+1, "")</f>
        <v>578</v>
      </c>
      <c r="D580" t="str">
        <f t="shared" ref="D580:D643" si="9">IFERROR(VLOOKUP(ROW(A578), $A$3:$C$2681, -2, FALSE), "")</f>
        <v/>
      </c>
    </row>
    <row r="581" spans="1:4">
      <c r="A581" s="42" t="s">
        <v>643</v>
      </c>
      <c r="B581">
        <f>IFERROR(FIND('Simulador IR 2025'!$I$29, A581), 0)</f>
        <v>1</v>
      </c>
      <c r="C581">
        <f>IF(B581&gt;0, MAX($C$2:C580)+1, "")</f>
        <v>579</v>
      </c>
      <c r="D581" t="str">
        <f t="shared" si="9"/>
        <v/>
      </c>
    </row>
    <row r="582" spans="1:4">
      <c r="A582" s="42" t="s">
        <v>644</v>
      </c>
      <c r="B582">
        <f>IFERROR(FIND('Simulador IR 2025'!$I$29, A582), 0)</f>
        <v>1</v>
      </c>
      <c r="C582">
        <f>IF(B582&gt;0, MAX($C$2:C581)+1, "")</f>
        <v>580</v>
      </c>
      <c r="D582" t="str">
        <f t="shared" si="9"/>
        <v/>
      </c>
    </row>
    <row r="583" spans="1:4">
      <c r="A583" s="42" t="s">
        <v>645</v>
      </c>
      <c r="B583">
        <f>IFERROR(FIND('Simulador IR 2025'!$I$29, A583), 0)</f>
        <v>1</v>
      </c>
      <c r="C583">
        <f>IF(B583&gt;0, MAX($C$2:C582)+1, "")</f>
        <v>581</v>
      </c>
      <c r="D583" t="str">
        <f t="shared" si="9"/>
        <v/>
      </c>
    </row>
    <row r="584" spans="1:4">
      <c r="A584" s="42" t="s">
        <v>646</v>
      </c>
      <c r="B584">
        <f>IFERROR(FIND('Simulador IR 2025'!$I$29, A584), 0)</f>
        <v>1</v>
      </c>
      <c r="C584">
        <f>IF(B584&gt;0, MAX($C$2:C583)+1, "")</f>
        <v>582</v>
      </c>
      <c r="D584" t="str">
        <f t="shared" si="9"/>
        <v/>
      </c>
    </row>
    <row r="585" spans="1:4">
      <c r="A585" s="42" t="s">
        <v>647</v>
      </c>
      <c r="B585">
        <f>IFERROR(FIND('Simulador IR 2025'!$I$29, A585), 0)</f>
        <v>1</v>
      </c>
      <c r="C585">
        <f>IF(B585&gt;0, MAX($C$2:C584)+1, "")</f>
        <v>583</v>
      </c>
      <c r="D585" t="str">
        <f t="shared" si="9"/>
        <v/>
      </c>
    </row>
    <row r="586" spans="1:4">
      <c r="A586" s="42" t="s">
        <v>648</v>
      </c>
      <c r="B586">
        <f>IFERROR(FIND('Simulador IR 2025'!$I$29, A586), 0)</f>
        <v>1</v>
      </c>
      <c r="C586">
        <f>IF(B586&gt;0, MAX($C$2:C585)+1, "")</f>
        <v>584</v>
      </c>
      <c r="D586" t="str">
        <f t="shared" si="9"/>
        <v/>
      </c>
    </row>
    <row r="587" spans="1:4">
      <c r="A587" s="42" t="s">
        <v>649</v>
      </c>
      <c r="B587">
        <f>IFERROR(FIND('Simulador IR 2025'!$I$29, A587), 0)</f>
        <v>1</v>
      </c>
      <c r="C587">
        <f>IF(B587&gt;0, MAX($C$2:C586)+1, "")</f>
        <v>585</v>
      </c>
      <c r="D587" t="str">
        <f t="shared" si="9"/>
        <v/>
      </c>
    </row>
    <row r="588" spans="1:4">
      <c r="A588" s="42" t="s">
        <v>650</v>
      </c>
      <c r="B588">
        <f>IFERROR(FIND('Simulador IR 2025'!$I$29, A588), 0)</f>
        <v>1</v>
      </c>
      <c r="C588">
        <f>IF(B588&gt;0, MAX($C$2:C587)+1, "")</f>
        <v>586</v>
      </c>
      <c r="D588" t="str">
        <f t="shared" si="9"/>
        <v/>
      </c>
    </row>
    <row r="589" spans="1:4">
      <c r="A589" s="42" t="s">
        <v>651</v>
      </c>
      <c r="B589">
        <f>IFERROR(FIND('Simulador IR 2025'!$I$29, A589), 0)</f>
        <v>1</v>
      </c>
      <c r="C589">
        <f>IF(B589&gt;0, MAX($C$2:C588)+1, "")</f>
        <v>587</v>
      </c>
      <c r="D589" t="str">
        <f t="shared" si="9"/>
        <v/>
      </c>
    </row>
    <row r="590" spans="1:4">
      <c r="A590" s="42" t="s">
        <v>652</v>
      </c>
      <c r="B590">
        <f>IFERROR(FIND('Simulador IR 2025'!$I$29, A590), 0)</f>
        <v>1</v>
      </c>
      <c r="C590">
        <f>IF(B590&gt;0, MAX($C$2:C589)+1, "")</f>
        <v>588</v>
      </c>
      <c r="D590" t="str">
        <f t="shared" si="9"/>
        <v/>
      </c>
    </row>
    <row r="591" spans="1:4">
      <c r="A591" s="42" t="s">
        <v>653</v>
      </c>
      <c r="B591">
        <f>IFERROR(FIND('Simulador IR 2025'!$I$29, A591), 0)</f>
        <v>1</v>
      </c>
      <c r="C591">
        <f>IF(B591&gt;0, MAX($C$2:C590)+1, "")</f>
        <v>589</v>
      </c>
      <c r="D591" t="str">
        <f t="shared" si="9"/>
        <v/>
      </c>
    </row>
    <row r="592" spans="1:4">
      <c r="A592" s="42" t="s">
        <v>654</v>
      </c>
      <c r="B592">
        <f>IFERROR(FIND('Simulador IR 2025'!$I$29, A592), 0)</f>
        <v>1</v>
      </c>
      <c r="C592">
        <f>IF(B592&gt;0, MAX($C$2:C591)+1, "")</f>
        <v>590</v>
      </c>
      <c r="D592" t="str">
        <f t="shared" si="9"/>
        <v/>
      </c>
    </row>
    <row r="593" spans="1:4">
      <c r="A593" s="42" t="s">
        <v>655</v>
      </c>
      <c r="B593">
        <f>IFERROR(FIND('Simulador IR 2025'!$I$29, A593), 0)</f>
        <v>1</v>
      </c>
      <c r="C593">
        <f>IF(B593&gt;0, MAX($C$2:C592)+1, "")</f>
        <v>591</v>
      </c>
      <c r="D593" t="str">
        <f t="shared" si="9"/>
        <v/>
      </c>
    </row>
    <row r="594" spans="1:4">
      <c r="A594" s="42" t="s">
        <v>656</v>
      </c>
      <c r="B594">
        <f>IFERROR(FIND('Simulador IR 2025'!$I$29, A594), 0)</f>
        <v>1</v>
      </c>
      <c r="C594">
        <f>IF(B594&gt;0, MAX($C$2:C593)+1, "")</f>
        <v>592</v>
      </c>
      <c r="D594" t="str">
        <f t="shared" si="9"/>
        <v/>
      </c>
    </row>
    <row r="595" spans="1:4">
      <c r="A595" s="42" t="s">
        <v>657</v>
      </c>
      <c r="B595">
        <f>IFERROR(FIND('Simulador IR 2025'!$I$29, A595), 0)</f>
        <v>1</v>
      </c>
      <c r="C595">
        <f>IF(B595&gt;0, MAX($C$2:C594)+1, "")</f>
        <v>593</v>
      </c>
      <c r="D595" t="str">
        <f t="shared" si="9"/>
        <v/>
      </c>
    </row>
    <row r="596" spans="1:4">
      <c r="A596" s="42" t="s">
        <v>658</v>
      </c>
      <c r="B596">
        <f>IFERROR(FIND('Simulador IR 2025'!$I$29, A596), 0)</f>
        <v>1</v>
      </c>
      <c r="C596">
        <f>IF(B596&gt;0, MAX($C$2:C595)+1, "")</f>
        <v>594</v>
      </c>
      <c r="D596" t="str">
        <f t="shared" si="9"/>
        <v/>
      </c>
    </row>
    <row r="597" spans="1:4">
      <c r="A597" s="42" t="s">
        <v>659</v>
      </c>
      <c r="B597">
        <f>IFERROR(FIND('Simulador IR 2025'!$I$29, A597), 0)</f>
        <v>1</v>
      </c>
      <c r="C597">
        <f>IF(B597&gt;0, MAX($C$2:C596)+1, "")</f>
        <v>595</v>
      </c>
      <c r="D597" t="str">
        <f t="shared" si="9"/>
        <v/>
      </c>
    </row>
    <row r="598" spans="1:4">
      <c r="A598" s="42" t="s">
        <v>660</v>
      </c>
      <c r="B598">
        <f>IFERROR(FIND('Simulador IR 2025'!$I$29, A598), 0)</f>
        <v>1</v>
      </c>
      <c r="C598">
        <f>IF(B598&gt;0, MAX($C$2:C597)+1, "")</f>
        <v>596</v>
      </c>
      <c r="D598" t="str">
        <f t="shared" si="9"/>
        <v/>
      </c>
    </row>
    <row r="599" spans="1:4">
      <c r="A599" s="42" t="s">
        <v>661</v>
      </c>
      <c r="B599">
        <f>IFERROR(FIND('Simulador IR 2025'!$I$29, A599), 0)</f>
        <v>1</v>
      </c>
      <c r="C599">
        <f>IF(B599&gt;0, MAX($C$2:C598)+1, "")</f>
        <v>597</v>
      </c>
      <c r="D599" t="str">
        <f t="shared" si="9"/>
        <v/>
      </c>
    </row>
    <row r="600" spans="1:4">
      <c r="A600" s="42" t="s">
        <v>662</v>
      </c>
      <c r="B600">
        <f>IFERROR(FIND('Simulador IR 2025'!$I$29, A600), 0)</f>
        <v>1</v>
      </c>
      <c r="C600">
        <f>IF(B600&gt;0, MAX($C$2:C599)+1, "")</f>
        <v>598</v>
      </c>
      <c r="D600" t="str">
        <f t="shared" si="9"/>
        <v/>
      </c>
    </row>
    <row r="601" spans="1:4">
      <c r="A601" s="42" t="s">
        <v>663</v>
      </c>
      <c r="B601">
        <f>IFERROR(FIND('Simulador IR 2025'!$I$29, A601), 0)</f>
        <v>1</v>
      </c>
      <c r="C601">
        <f>IF(B601&gt;0, MAX($C$2:C600)+1, "")</f>
        <v>599</v>
      </c>
      <c r="D601" t="str">
        <f t="shared" si="9"/>
        <v/>
      </c>
    </row>
    <row r="602" spans="1:4">
      <c r="A602" s="42" t="s">
        <v>664</v>
      </c>
      <c r="B602">
        <f>IFERROR(FIND('Simulador IR 2025'!$I$29, A602), 0)</f>
        <v>1</v>
      </c>
      <c r="C602">
        <f>IF(B602&gt;0, MAX($C$2:C601)+1, "")</f>
        <v>600</v>
      </c>
      <c r="D602" t="str">
        <f t="shared" si="9"/>
        <v/>
      </c>
    </row>
    <row r="603" spans="1:4">
      <c r="A603" s="42" t="s">
        <v>665</v>
      </c>
      <c r="B603">
        <f>IFERROR(FIND('Simulador IR 2025'!$I$29, A603), 0)</f>
        <v>1</v>
      </c>
      <c r="C603">
        <f>IF(B603&gt;0, MAX($C$2:C602)+1, "")</f>
        <v>601</v>
      </c>
      <c r="D603" t="str">
        <f t="shared" si="9"/>
        <v/>
      </c>
    </row>
    <row r="604" spans="1:4">
      <c r="A604" s="42" t="s">
        <v>666</v>
      </c>
      <c r="B604">
        <f>IFERROR(FIND('Simulador IR 2025'!$I$29, A604), 0)</f>
        <v>1</v>
      </c>
      <c r="C604">
        <f>IF(B604&gt;0, MAX($C$2:C603)+1, "")</f>
        <v>602</v>
      </c>
      <c r="D604" t="str">
        <f t="shared" si="9"/>
        <v/>
      </c>
    </row>
    <row r="605" spans="1:4">
      <c r="A605" s="42" t="s">
        <v>667</v>
      </c>
      <c r="B605">
        <f>IFERROR(FIND('Simulador IR 2025'!$I$29, A605), 0)</f>
        <v>1</v>
      </c>
      <c r="C605">
        <f>IF(B605&gt;0, MAX($C$2:C604)+1, "")</f>
        <v>603</v>
      </c>
      <c r="D605" t="str">
        <f t="shared" si="9"/>
        <v/>
      </c>
    </row>
    <row r="606" spans="1:4">
      <c r="A606" s="42" t="s">
        <v>668</v>
      </c>
      <c r="B606">
        <f>IFERROR(FIND('Simulador IR 2025'!$I$29, A606), 0)</f>
        <v>1</v>
      </c>
      <c r="C606">
        <f>IF(B606&gt;0, MAX($C$2:C605)+1, "")</f>
        <v>604</v>
      </c>
      <c r="D606" t="str">
        <f t="shared" si="9"/>
        <v/>
      </c>
    </row>
    <row r="607" spans="1:4">
      <c r="A607" s="42" t="s">
        <v>669</v>
      </c>
      <c r="B607">
        <f>IFERROR(FIND('Simulador IR 2025'!$I$29, A607), 0)</f>
        <v>1</v>
      </c>
      <c r="C607">
        <f>IF(B607&gt;0, MAX($C$2:C606)+1, "")</f>
        <v>605</v>
      </c>
      <c r="D607" t="str">
        <f t="shared" si="9"/>
        <v/>
      </c>
    </row>
    <row r="608" spans="1:4">
      <c r="A608" s="42" t="s">
        <v>670</v>
      </c>
      <c r="B608">
        <f>IFERROR(FIND('Simulador IR 2025'!$I$29, A608), 0)</f>
        <v>1</v>
      </c>
      <c r="C608">
        <f>IF(B608&gt;0, MAX($C$2:C607)+1, "")</f>
        <v>606</v>
      </c>
      <c r="D608" t="str">
        <f t="shared" si="9"/>
        <v/>
      </c>
    </row>
    <row r="609" spans="1:4">
      <c r="A609" s="42" t="s">
        <v>671</v>
      </c>
      <c r="B609">
        <f>IFERROR(FIND('Simulador IR 2025'!$I$29, A609), 0)</f>
        <v>1</v>
      </c>
      <c r="C609">
        <f>IF(B609&gt;0, MAX($C$2:C608)+1, "")</f>
        <v>607</v>
      </c>
      <c r="D609" t="str">
        <f t="shared" si="9"/>
        <v/>
      </c>
    </row>
    <row r="610" spans="1:4">
      <c r="A610" s="42" t="s">
        <v>672</v>
      </c>
      <c r="B610">
        <f>IFERROR(FIND('Simulador IR 2025'!$I$29, A610), 0)</f>
        <v>1</v>
      </c>
      <c r="C610">
        <f>IF(B610&gt;0, MAX($C$2:C609)+1, "")</f>
        <v>608</v>
      </c>
      <c r="D610" t="str">
        <f t="shared" si="9"/>
        <v/>
      </c>
    </row>
    <row r="611" spans="1:4">
      <c r="A611" s="42" t="s">
        <v>673</v>
      </c>
      <c r="B611">
        <f>IFERROR(FIND('Simulador IR 2025'!$I$29, A611), 0)</f>
        <v>1</v>
      </c>
      <c r="C611">
        <f>IF(B611&gt;0, MAX($C$2:C610)+1, "")</f>
        <v>609</v>
      </c>
      <c r="D611" t="str">
        <f t="shared" si="9"/>
        <v/>
      </c>
    </row>
    <row r="612" spans="1:4">
      <c r="A612" s="42" t="s">
        <v>674</v>
      </c>
      <c r="B612">
        <f>IFERROR(FIND('Simulador IR 2025'!$I$29, A612), 0)</f>
        <v>1</v>
      </c>
      <c r="C612">
        <f>IF(B612&gt;0, MAX($C$2:C611)+1, "")</f>
        <v>610</v>
      </c>
      <c r="D612" t="str">
        <f t="shared" si="9"/>
        <v/>
      </c>
    </row>
    <row r="613" spans="1:4">
      <c r="A613" s="42" t="s">
        <v>675</v>
      </c>
      <c r="B613">
        <f>IFERROR(FIND('Simulador IR 2025'!$I$29, A613), 0)</f>
        <v>1</v>
      </c>
      <c r="C613">
        <f>IF(B613&gt;0, MAX($C$2:C612)+1, "")</f>
        <v>611</v>
      </c>
      <c r="D613" t="str">
        <f t="shared" si="9"/>
        <v/>
      </c>
    </row>
    <row r="614" spans="1:4">
      <c r="A614" s="42" t="s">
        <v>676</v>
      </c>
      <c r="B614">
        <f>IFERROR(FIND('Simulador IR 2025'!$I$29, A614), 0)</f>
        <v>1</v>
      </c>
      <c r="C614">
        <f>IF(B614&gt;0, MAX($C$2:C613)+1, "")</f>
        <v>612</v>
      </c>
      <c r="D614" t="str">
        <f t="shared" si="9"/>
        <v/>
      </c>
    </row>
    <row r="615" spans="1:4">
      <c r="A615" s="42" t="s">
        <v>677</v>
      </c>
      <c r="B615">
        <f>IFERROR(FIND('Simulador IR 2025'!$I$29, A615), 0)</f>
        <v>1</v>
      </c>
      <c r="C615">
        <f>IF(B615&gt;0, MAX($C$2:C614)+1, "")</f>
        <v>613</v>
      </c>
      <c r="D615" t="str">
        <f t="shared" si="9"/>
        <v/>
      </c>
    </row>
    <row r="616" spans="1:4">
      <c r="A616" s="42" t="s">
        <v>678</v>
      </c>
      <c r="B616">
        <f>IFERROR(FIND('Simulador IR 2025'!$I$29, A616), 0)</f>
        <v>1</v>
      </c>
      <c r="C616">
        <f>IF(B616&gt;0, MAX($C$2:C615)+1, "")</f>
        <v>614</v>
      </c>
      <c r="D616" t="str">
        <f t="shared" si="9"/>
        <v/>
      </c>
    </row>
    <row r="617" spans="1:4">
      <c r="A617" s="42" t="s">
        <v>679</v>
      </c>
      <c r="B617">
        <f>IFERROR(FIND('Simulador IR 2025'!$I$29, A617), 0)</f>
        <v>1</v>
      </c>
      <c r="C617">
        <f>IF(B617&gt;0, MAX($C$2:C616)+1, "")</f>
        <v>615</v>
      </c>
      <c r="D617" t="str">
        <f t="shared" si="9"/>
        <v/>
      </c>
    </row>
    <row r="618" spans="1:4">
      <c r="A618" s="42" t="s">
        <v>680</v>
      </c>
      <c r="B618">
        <f>IFERROR(FIND('Simulador IR 2025'!$I$29, A618), 0)</f>
        <v>1</v>
      </c>
      <c r="C618">
        <f>IF(B618&gt;0, MAX($C$2:C617)+1, "")</f>
        <v>616</v>
      </c>
      <c r="D618" t="str">
        <f t="shared" si="9"/>
        <v/>
      </c>
    </row>
    <row r="619" spans="1:4">
      <c r="A619" s="42" t="s">
        <v>681</v>
      </c>
      <c r="B619">
        <f>IFERROR(FIND('Simulador IR 2025'!$I$29, A619), 0)</f>
        <v>1</v>
      </c>
      <c r="C619">
        <f>IF(B619&gt;0, MAX($C$2:C618)+1, "")</f>
        <v>617</v>
      </c>
      <c r="D619" t="str">
        <f t="shared" si="9"/>
        <v/>
      </c>
    </row>
    <row r="620" spans="1:4">
      <c r="A620" s="42" t="s">
        <v>682</v>
      </c>
      <c r="B620">
        <f>IFERROR(FIND('Simulador IR 2025'!$I$29, A620), 0)</f>
        <v>1</v>
      </c>
      <c r="C620">
        <f>IF(B620&gt;0, MAX($C$2:C619)+1, "")</f>
        <v>618</v>
      </c>
      <c r="D620" t="str">
        <f t="shared" si="9"/>
        <v/>
      </c>
    </row>
    <row r="621" spans="1:4">
      <c r="A621" s="42" t="s">
        <v>683</v>
      </c>
      <c r="B621">
        <f>IFERROR(FIND('Simulador IR 2025'!$I$29, A621), 0)</f>
        <v>1</v>
      </c>
      <c r="C621">
        <f>IF(B621&gt;0, MAX($C$2:C620)+1, "")</f>
        <v>619</v>
      </c>
      <c r="D621" t="str">
        <f t="shared" si="9"/>
        <v/>
      </c>
    </row>
    <row r="622" spans="1:4">
      <c r="A622" s="42" t="s">
        <v>684</v>
      </c>
      <c r="B622">
        <f>IFERROR(FIND('Simulador IR 2025'!$I$29, A622), 0)</f>
        <v>1</v>
      </c>
      <c r="C622">
        <f>IF(B622&gt;0, MAX($C$2:C621)+1, "")</f>
        <v>620</v>
      </c>
      <c r="D622" t="str">
        <f t="shared" si="9"/>
        <v/>
      </c>
    </row>
    <row r="623" spans="1:4">
      <c r="A623" s="42" t="s">
        <v>685</v>
      </c>
      <c r="B623">
        <f>IFERROR(FIND('Simulador IR 2025'!$I$29, A623), 0)</f>
        <v>1</v>
      </c>
      <c r="C623">
        <f>IF(B623&gt;0, MAX($C$2:C622)+1, "")</f>
        <v>621</v>
      </c>
      <c r="D623" t="str">
        <f t="shared" si="9"/>
        <v/>
      </c>
    </row>
    <row r="624" spans="1:4">
      <c r="A624" s="42" t="s">
        <v>686</v>
      </c>
      <c r="B624">
        <f>IFERROR(FIND('Simulador IR 2025'!$I$29, A624), 0)</f>
        <v>1</v>
      </c>
      <c r="C624">
        <f>IF(B624&gt;0, MAX($C$2:C623)+1, "")</f>
        <v>622</v>
      </c>
      <c r="D624" t="str">
        <f t="shared" si="9"/>
        <v/>
      </c>
    </row>
    <row r="625" spans="1:4">
      <c r="A625" s="42" t="s">
        <v>687</v>
      </c>
      <c r="B625">
        <f>IFERROR(FIND('Simulador IR 2025'!$I$29, A625), 0)</f>
        <v>1</v>
      </c>
      <c r="C625">
        <f>IF(B625&gt;0, MAX($C$2:C624)+1, "")</f>
        <v>623</v>
      </c>
      <c r="D625" t="str">
        <f t="shared" si="9"/>
        <v/>
      </c>
    </row>
    <row r="626" spans="1:4">
      <c r="A626" s="42" t="s">
        <v>688</v>
      </c>
      <c r="B626">
        <f>IFERROR(FIND('Simulador IR 2025'!$I$29, A626), 0)</f>
        <v>1</v>
      </c>
      <c r="C626">
        <f>IF(B626&gt;0, MAX($C$2:C625)+1, "")</f>
        <v>624</v>
      </c>
      <c r="D626" t="str">
        <f t="shared" si="9"/>
        <v/>
      </c>
    </row>
    <row r="627" spans="1:4">
      <c r="A627" s="42" t="s">
        <v>689</v>
      </c>
      <c r="B627">
        <f>IFERROR(FIND('Simulador IR 2025'!$I$29, A627), 0)</f>
        <v>1</v>
      </c>
      <c r="C627">
        <f>IF(B627&gt;0, MAX($C$2:C626)+1, "")</f>
        <v>625</v>
      </c>
      <c r="D627" t="str">
        <f t="shared" si="9"/>
        <v/>
      </c>
    </row>
    <row r="628" spans="1:4">
      <c r="A628" s="42" t="s">
        <v>690</v>
      </c>
      <c r="B628">
        <f>IFERROR(FIND('Simulador IR 2025'!$I$29, A628), 0)</f>
        <v>1</v>
      </c>
      <c r="C628">
        <f>IF(B628&gt;0, MAX($C$2:C627)+1, "")</f>
        <v>626</v>
      </c>
      <c r="D628" t="str">
        <f t="shared" si="9"/>
        <v/>
      </c>
    </row>
    <row r="629" spans="1:4">
      <c r="A629" s="42" t="s">
        <v>691</v>
      </c>
      <c r="B629">
        <f>IFERROR(FIND('Simulador IR 2025'!$I$29, A629), 0)</f>
        <v>1</v>
      </c>
      <c r="C629">
        <f>IF(B629&gt;0, MAX($C$2:C628)+1, "")</f>
        <v>627</v>
      </c>
      <c r="D629" t="str">
        <f t="shared" si="9"/>
        <v/>
      </c>
    </row>
    <row r="630" spans="1:4">
      <c r="A630" s="42" t="s">
        <v>692</v>
      </c>
      <c r="B630">
        <f>IFERROR(FIND('Simulador IR 2025'!$I$29, A630), 0)</f>
        <v>1</v>
      </c>
      <c r="C630">
        <f>IF(B630&gt;0, MAX($C$2:C629)+1, "")</f>
        <v>628</v>
      </c>
      <c r="D630" t="str">
        <f t="shared" si="9"/>
        <v/>
      </c>
    </row>
    <row r="631" spans="1:4">
      <c r="A631" s="42" t="s">
        <v>693</v>
      </c>
      <c r="B631">
        <f>IFERROR(FIND('Simulador IR 2025'!$I$29, A631), 0)</f>
        <v>1</v>
      </c>
      <c r="C631">
        <f>IF(B631&gt;0, MAX($C$2:C630)+1, "")</f>
        <v>629</v>
      </c>
      <c r="D631" t="str">
        <f t="shared" si="9"/>
        <v/>
      </c>
    </row>
    <row r="632" spans="1:4">
      <c r="A632" s="42" t="s">
        <v>694</v>
      </c>
      <c r="B632">
        <f>IFERROR(FIND('Simulador IR 2025'!$I$29, A632), 0)</f>
        <v>1</v>
      </c>
      <c r="C632">
        <f>IF(B632&gt;0, MAX($C$2:C631)+1, "")</f>
        <v>630</v>
      </c>
      <c r="D632" t="str">
        <f t="shared" si="9"/>
        <v/>
      </c>
    </row>
    <row r="633" spans="1:4">
      <c r="A633" s="42" t="s">
        <v>695</v>
      </c>
      <c r="B633">
        <f>IFERROR(FIND('Simulador IR 2025'!$I$29, A633), 0)</f>
        <v>1</v>
      </c>
      <c r="C633">
        <f>IF(B633&gt;0, MAX($C$2:C632)+1, "")</f>
        <v>631</v>
      </c>
      <c r="D633" t="str">
        <f t="shared" si="9"/>
        <v/>
      </c>
    </row>
    <row r="634" spans="1:4">
      <c r="A634" s="42" t="s">
        <v>696</v>
      </c>
      <c r="B634">
        <f>IFERROR(FIND('Simulador IR 2025'!$I$29, A634), 0)</f>
        <v>1</v>
      </c>
      <c r="C634">
        <f>IF(B634&gt;0, MAX($C$2:C633)+1, "")</f>
        <v>632</v>
      </c>
      <c r="D634" t="str">
        <f t="shared" si="9"/>
        <v/>
      </c>
    </row>
    <row r="635" spans="1:4">
      <c r="A635" s="42" t="s">
        <v>697</v>
      </c>
      <c r="B635">
        <f>IFERROR(FIND('Simulador IR 2025'!$I$29, A635), 0)</f>
        <v>1</v>
      </c>
      <c r="C635">
        <f>IF(B635&gt;0, MAX($C$2:C634)+1, "")</f>
        <v>633</v>
      </c>
      <c r="D635" t="str">
        <f t="shared" si="9"/>
        <v/>
      </c>
    </row>
    <row r="636" spans="1:4">
      <c r="A636" s="42" t="s">
        <v>698</v>
      </c>
      <c r="B636">
        <f>IFERROR(FIND('Simulador IR 2025'!$I$29, A636), 0)</f>
        <v>1</v>
      </c>
      <c r="C636">
        <f>IF(B636&gt;0, MAX($C$2:C635)+1, "")</f>
        <v>634</v>
      </c>
      <c r="D636" t="str">
        <f t="shared" si="9"/>
        <v/>
      </c>
    </row>
    <row r="637" spans="1:4">
      <c r="A637" s="42" t="s">
        <v>699</v>
      </c>
      <c r="B637">
        <f>IFERROR(FIND('Simulador IR 2025'!$I$29, A637), 0)</f>
        <v>1</v>
      </c>
      <c r="C637">
        <f>IF(B637&gt;0, MAX($C$2:C636)+1, "")</f>
        <v>635</v>
      </c>
      <c r="D637" t="str">
        <f t="shared" si="9"/>
        <v/>
      </c>
    </row>
    <row r="638" spans="1:4">
      <c r="A638" s="42" t="s">
        <v>700</v>
      </c>
      <c r="B638">
        <f>IFERROR(FIND('Simulador IR 2025'!$I$29, A638), 0)</f>
        <v>1</v>
      </c>
      <c r="C638">
        <f>IF(B638&gt;0, MAX($C$2:C637)+1, "")</f>
        <v>636</v>
      </c>
      <c r="D638" t="str">
        <f t="shared" si="9"/>
        <v/>
      </c>
    </row>
    <row r="639" spans="1:4">
      <c r="A639" s="42" t="s">
        <v>701</v>
      </c>
      <c r="B639">
        <f>IFERROR(FIND('Simulador IR 2025'!$I$29, A639), 0)</f>
        <v>1</v>
      </c>
      <c r="C639">
        <f>IF(B639&gt;0, MAX($C$2:C638)+1, "")</f>
        <v>637</v>
      </c>
      <c r="D639" t="str">
        <f t="shared" si="9"/>
        <v/>
      </c>
    </row>
    <row r="640" spans="1:4">
      <c r="A640" s="42" t="s">
        <v>702</v>
      </c>
      <c r="B640">
        <f>IFERROR(FIND('Simulador IR 2025'!$I$29, A640), 0)</f>
        <v>1</v>
      </c>
      <c r="C640">
        <f>IF(B640&gt;0, MAX($C$2:C639)+1, "")</f>
        <v>638</v>
      </c>
      <c r="D640" t="str">
        <f t="shared" si="9"/>
        <v/>
      </c>
    </row>
    <row r="641" spans="1:4">
      <c r="A641" s="42" t="s">
        <v>703</v>
      </c>
      <c r="B641">
        <f>IFERROR(FIND('Simulador IR 2025'!$I$29, A641), 0)</f>
        <v>1</v>
      </c>
      <c r="C641">
        <f>IF(B641&gt;0, MAX($C$2:C640)+1, "")</f>
        <v>639</v>
      </c>
      <c r="D641" t="str">
        <f t="shared" si="9"/>
        <v/>
      </c>
    </row>
    <row r="642" spans="1:4">
      <c r="A642" s="42" t="s">
        <v>704</v>
      </c>
      <c r="B642">
        <f>IFERROR(FIND('Simulador IR 2025'!$I$29, A642), 0)</f>
        <v>1</v>
      </c>
      <c r="C642">
        <f>IF(B642&gt;0, MAX($C$2:C641)+1, "")</f>
        <v>640</v>
      </c>
      <c r="D642" t="str">
        <f t="shared" si="9"/>
        <v/>
      </c>
    </row>
    <row r="643" spans="1:4">
      <c r="A643" s="42" t="s">
        <v>705</v>
      </c>
      <c r="B643">
        <f>IFERROR(FIND('Simulador IR 2025'!$I$29, A643), 0)</f>
        <v>1</v>
      </c>
      <c r="C643">
        <f>IF(B643&gt;0, MAX($C$2:C642)+1, "")</f>
        <v>641</v>
      </c>
      <c r="D643" t="str">
        <f t="shared" si="9"/>
        <v/>
      </c>
    </row>
    <row r="644" spans="1:4">
      <c r="A644" s="42" t="s">
        <v>706</v>
      </c>
      <c r="B644">
        <f>IFERROR(FIND('Simulador IR 2025'!$I$29, A644), 0)</f>
        <v>1</v>
      </c>
      <c r="C644">
        <f>IF(B644&gt;0, MAX($C$2:C643)+1, "")</f>
        <v>642</v>
      </c>
      <c r="D644" t="str">
        <f t="shared" ref="D644:D707" si="10">IFERROR(VLOOKUP(ROW(A642), $A$3:$C$2681, -2, FALSE), "")</f>
        <v/>
      </c>
    </row>
    <row r="645" spans="1:4">
      <c r="A645" s="42" t="s">
        <v>707</v>
      </c>
      <c r="B645">
        <f>IFERROR(FIND('Simulador IR 2025'!$I$29, A645), 0)</f>
        <v>1</v>
      </c>
      <c r="C645">
        <f>IF(B645&gt;0, MAX($C$2:C644)+1, "")</f>
        <v>643</v>
      </c>
      <c r="D645" t="str">
        <f t="shared" si="10"/>
        <v/>
      </c>
    </row>
    <row r="646" spans="1:4">
      <c r="A646" s="42" t="s">
        <v>708</v>
      </c>
      <c r="B646">
        <f>IFERROR(FIND('Simulador IR 2025'!$I$29, A646), 0)</f>
        <v>1</v>
      </c>
      <c r="C646">
        <f>IF(B646&gt;0, MAX($C$2:C645)+1, "")</f>
        <v>644</v>
      </c>
      <c r="D646" t="str">
        <f t="shared" si="10"/>
        <v/>
      </c>
    </row>
    <row r="647" spans="1:4">
      <c r="A647" s="42" t="s">
        <v>709</v>
      </c>
      <c r="B647">
        <f>IFERROR(FIND('Simulador IR 2025'!$I$29, A647), 0)</f>
        <v>1</v>
      </c>
      <c r="C647">
        <f>IF(B647&gt;0, MAX($C$2:C646)+1, "")</f>
        <v>645</v>
      </c>
      <c r="D647" t="str">
        <f t="shared" si="10"/>
        <v/>
      </c>
    </row>
    <row r="648" spans="1:4">
      <c r="A648" s="42" t="s">
        <v>710</v>
      </c>
      <c r="B648">
        <f>IFERROR(FIND('Simulador IR 2025'!$I$29, A648), 0)</f>
        <v>1</v>
      </c>
      <c r="C648">
        <f>IF(B648&gt;0, MAX($C$2:C647)+1, "")</f>
        <v>646</v>
      </c>
      <c r="D648" t="str">
        <f t="shared" si="10"/>
        <v/>
      </c>
    </row>
    <row r="649" spans="1:4">
      <c r="A649" s="42" t="s">
        <v>711</v>
      </c>
      <c r="B649">
        <f>IFERROR(FIND('Simulador IR 2025'!$I$29, A649), 0)</f>
        <v>1</v>
      </c>
      <c r="C649">
        <f>IF(B649&gt;0, MAX($C$2:C648)+1, "")</f>
        <v>647</v>
      </c>
      <c r="D649" t="str">
        <f t="shared" si="10"/>
        <v/>
      </c>
    </row>
    <row r="650" spans="1:4">
      <c r="A650" s="42" t="s">
        <v>712</v>
      </c>
      <c r="B650">
        <f>IFERROR(FIND('Simulador IR 2025'!$I$29, A650), 0)</f>
        <v>1</v>
      </c>
      <c r="C650">
        <f>IF(B650&gt;0, MAX($C$2:C649)+1, "")</f>
        <v>648</v>
      </c>
      <c r="D650" t="str">
        <f t="shared" si="10"/>
        <v/>
      </c>
    </row>
    <row r="651" spans="1:4">
      <c r="A651" s="42" t="s">
        <v>713</v>
      </c>
      <c r="B651">
        <f>IFERROR(FIND('Simulador IR 2025'!$I$29, A651), 0)</f>
        <v>1</v>
      </c>
      <c r="C651">
        <f>IF(B651&gt;0, MAX($C$2:C650)+1, "")</f>
        <v>649</v>
      </c>
      <c r="D651" t="str">
        <f t="shared" si="10"/>
        <v/>
      </c>
    </row>
    <row r="652" spans="1:4">
      <c r="A652" s="42" t="s">
        <v>714</v>
      </c>
      <c r="B652">
        <f>IFERROR(FIND('Simulador IR 2025'!$I$29, A652), 0)</f>
        <v>1</v>
      </c>
      <c r="C652">
        <f>IF(B652&gt;0, MAX($C$2:C651)+1, "")</f>
        <v>650</v>
      </c>
      <c r="D652" t="str">
        <f t="shared" si="10"/>
        <v/>
      </c>
    </row>
    <row r="653" spans="1:4">
      <c r="A653" s="42" t="s">
        <v>715</v>
      </c>
      <c r="B653">
        <f>IFERROR(FIND('Simulador IR 2025'!$I$29, A653), 0)</f>
        <v>1</v>
      </c>
      <c r="C653">
        <f>IF(B653&gt;0, MAX($C$2:C652)+1, "")</f>
        <v>651</v>
      </c>
      <c r="D653" t="str">
        <f t="shared" si="10"/>
        <v/>
      </c>
    </row>
    <row r="654" spans="1:4">
      <c r="A654" s="42" t="s">
        <v>716</v>
      </c>
      <c r="B654">
        <f>IFERROR(FIND('Simulador IR 2025'!$I$29, A654), 0)</f>
        <v>1</v>
      </c>
      <c r="C654">
        <f>IF(B654&gt;0, MAX($C$2:C653)+1, "")</f>
        <v>652</v>
      </c>
      <c r="D654" t="str">
        <f t="shared" si="10"/>
        <v/>
      </c>
    </row>
    <row r="655" spans="1:4">
      <c r="A655" s="42" t="s">
        <v>717</v>
      </c>
      <c r="B655">
        <f>IFERROR(FIND('Simulador IR 2025'!$I$29, A655), 0)</f>
        <v>1</v>
      </c>
      <c r="C655">
        <f>IF(B655&gt;0, MAX($C$2:C654)+1, "")</f>
        <v>653</v>
      </c>
      <c r="D655" t="str">
        <f t="shared" si="10"/>
        <v/>
      </c>
    </row>
    <row r="656" spans="1:4">
      <c r="A656" s="42" t="s">
        <v>718</v>
      </c>
      <c r="B656">
        <f>IFERROR(FIND('Simulador IR 2025'!$I$29, A656), 0)</f>
        <v>1</v>
      </c>
      <c r="C656">
        <f>IF(B656&gt;0, MAX($C$2:C655)+1, "")</f>
        <v>654</v>
      </c>
      <c r="D656" t="str">
        <f t="shared" si="10"/>
        <v/>
      </c>
    </row>
    <row r="657" spans="1:4">
      <c r="A657" s="42" t="s">
        <v>719</v>
      </c>
      <c r="B657">
        <f>IFERROR(FIND('Simulador IR 2025'!$I$29, A657), 0)</f>
        <v>1</v>
      </c>
      <c r="C657">
        <f>IF(B657&gt;0, MAX($C$2:C656)+1, "")</f>
        <v>655</v>
      </c>
      <c r="D657" t="str">
        <f t="shared" si="10"/>
        <v/>
      </c>
    </row>
    <row r="658" spans="1:4">
      <c r="A658" s="42" t="s">
        <v>720</v>
      </c>
      <c r="B658">
        <f>IFERROR(FIND('Simulador IR 2025'!$I$29, A658), 0)</f>
        <v>1</v>
      </c>
      <c r="C658">
        <f>IF(B658&gt;0, MAX($C$2:C657)+1, "")</f>
        <v>656</v>
      </c>
      <c r="D658" t="str">
        <f t="shared" si="10"/>
        <v/>
      </c>
    </row>
    <row r="659" spans="1:4">
      <c r="A659" s="42" t="s">
        <v>721</v>
      </c>
      <c r="B659">
        <f>IFERROR(FIND('Simulador IR 2025'!$I$29, A659), 0)</f>
        <v>1</v>
      </c>
      <c r="C659">
        <f>IF(B659&gt;0, MAX($C$2:C658)+1, "")</f>
        <v>657</v>
      </c>
      <c r="D659" t="str">
        <f t="shared" si="10"/>
        <v/>
      </c>
    </row>
    <row r="660" spans="1:4">
      <c r="A660" s="42" t="s">
        <v>722</v>
      </c>
      <c r="B660">
        <f>IFERROR(FIND('Simulador IR 2025'!$I$29, A660), 0)</f>
        <v>1</v>
      </c>
      <c r="C660">
        <f>IF(B660&gt;0, MAX($C$2:C659)+1, "")</f>
        <v>658</v>
      </c>
      <c r="D660" t="str">
        <f t="shared" si="10"/>
        <v/>
      </c>
    </row>
    <row r="661" spans="1:4">
      <c r="A661" s="42" t="s">
        <v>723</v>
      </c>
      <c r="B661">
        <f>IFERROR(FIND('Simulador IR 2025'!$I$29, A661), 0)</f>
        <v>1</v>
      </c>
      <c r="C661">
        <f>IF(B661&gt;0, MAX($C$2:C660)+1, "")</f>
        <v>659</v>
      </c>
      <c r="D661" t="str">
        <f t="shared" si="10"/>
        <v/>
      </c>
    </row>
    <row r="662" spans="1:4">
      <c r="A662" s="42" t="s">
        <v>724</v>
      </c>
      <c r="B662">
        <f>IFERROR(FIND('Simulador IR 2025'!$I$29, A662), 0)</f>
        <v>1</v>
      </c>
      <c r="C662">
        <f>IF(B662&gt;0, MAX($C$2:C661)+1, "")</f>
        <v>660</v>
      </c>
      <c r="D662" t="str">
        <f t="shared" si="10"/>
        <v/>
      </c>
    </row>
    <row r="663" spans="1:4">
      <c r="A663" s="42" t="s">
        <v>725</v>
      </c>
      <c r="B663">
        <f>IFERROR(FIND('Simulador IR 2025'!$I$29, A663), 0)</f>
        <v>1</v>
      </c>
      <c r="C663">
        <f>IF(B663&gt;0, MAX($C$2:C662)+1, "")</f>
        <v>661</v>
      </c>
      <c r="D663" t="str">
        <f t="shared" si="10"/>
        <v/>
      </c>
    </row>
    <row r="664" spans="1:4">
      <c r="A664" s="42" t="s">
        <v>726</v>
      </c>
      <c r="B664">
        <f>IFERROR(FIND('Simulador IR 2025'!$I$29, A664), 0)</f>
        <v>1</v>
      </c>
      <c r="C664">
        <f>IF(B664&gt;0, MAX($C$2:C663)+1, "")</f>
        <v>662</v>
      </c>
      <c r="D664" t="str">
        <f t="shared" si="10"/>
        <v/>
      </c>
    </row>
    <row r="665" spans="1:4">
      <c r="A665" s="42" t="s">
        <v>727</v>
      </c>
      <c r="B665">
        <f>IFERROR(FIND('Simulador IR 2025'!$I$29, A665), 0)</f>
        <v>1</v>
      </c>
      <c r="C665">
        <f>IF(B665&gt;0, MAX($C$2:C664)+1, "")</f>
        <v>663</v>
      </c>
      <c r="D665" t="str">
        <f t="shared" si="10"/>
        <v/>
      </c>
    </row>
    <row r="666" spans="1:4">
      <c r="A666" s="42" t="s">
        <v>728</v>
      </c>
      <c r="B666">
        <f>IFERROR(FIND('Simulador IR 2025'!$I$29, A666), 0)</f>
        <v>1</v>
      </c>
      <c r="C666">
        <f>IF(B666&gt;0, MAX($C$2:C665)+1, "")</f>
        <v>664</v>
      </c>
      <c r="D666" t="str">
        <f t="shared" si="10"/>
        <v/>
      </c>
    </row>
    <row r="667" spans="1:4">
      <c r="A667" s="42" t="s">
        <v>729</v>
      </c>
      <c r="B667">
        <f>IFERROR(FIND('Simulador IR 2025'!$I$29, A667), 0)</f>
        <v>1</v>
      </c>
      <c r="C667">
        <f>IF(B667&gt;0, MAX($C$2:C666)+1, "")</f>
        <v>665</v>
      </c>
      <c r="D667" t="str">
        <f t="shared" si="10"/>
        <v/>
      </c>
    </row>
    <row r="668" spans="1:4">
      <c r="A668" s="42" t="s">
        <v>730</v>
      </c>
      <c r="B668">
        <f>IFERROR(FIND('Simulador IR 2025'!$I$29, A668), 0)</f>
        <v>1</v>
      </c>
      <c r="C668">
        <f>IF(B668&gt;0, MAX($C$2:C667)+1, "")</f>
        <v>666</v>
      </c>
      <c r="D668" t="str">
        <f t="shared" si="10"/>
        <v/>
      </c>
    </row>
    <row r="669" spans="1:4">
      <c r="A669" s="42" t="s">
        <v>731</v>
      </c>
      <c r="B669">
        <f>IFERROR(FIND('Simulador IR 2025'!$I$29, A669), 0)</f>
        <v>1</v>
      </c>
      <c r="C669">
        <f>IF(B669&gt;0, MAX($C$2:C668)+1, "")</f>
        <v>667</v>
      </c>
      <c r="D669" t="str">
        <f t="shared" si="10"/>
        <v/>
      </c>
    </row>
    <row r="670" spans="1:4">
      <c r="A670" s="42" t="s">
        <v>732</v>
      </c>
      <c r="B670">
        <f>IFERROR(FIND('Simulador IR 2025'!$I$29, A670), 0)</f>
        <v>1</v>
      </c>
      <c r="C670">
        <f>IF(B670&gt;0, MAX($C$2:C669)+1, "")</f>
        <v>668</v>
      </c>
      <c r="D670" t="str">
        <f t="shared" si="10"/>
        <v/>
      </c>
    </row>
    <row r="671" spans="1:4">
      <c r="A671" s="42" t="s">
        <v>733</v>
      </c>
      <c r="B671">
        <f>IFERROR(FIND('Simulador IR 2025'!$I$29, A671), 0)</f>
        <v>1</v>
      </c>
      <c r="C671">
        <f>IF(B671&gt;0, MAX($C$2:C670)+1, "")</f>
        <v>669</v>
      </c>
      <c r="D671" t="str">
        <f t="shared" si="10"/>
        <v/>
      </c>
    </row>
    <row r="672" spans="1:4">
      <c r="A672" s="42" t="s">
        <v>734</v>
      </c>
      <c r="B672">
        <f>IFERROR(FIND('Simulador IR 2025'!$I$29, A672), 0)</f>
        <v>1</v>
      </c>
      <c r="C672">
        <f>IF(B672&gt;0, MAX($C$2:C671)+1, "")</f>
        <v>670</v>
      </c>
      <c r="D672" t="str">
        <f t="shared" si="10"/>
        <v/>
      </c>
    </row>
    <row r="673" spans="1:4">
      <c r="A673" s="42" t="s">
        <v>735</v>
      </c>
      <c r="B673">
        <f>IFERROR(FIND('Simulador IR 2025'!$I$29, A673), 0)</f>
        <v>1</v>
      </c>
      <c r="C673">
        <f>IF(B673&gt;0, MAX($C$2:C672)+1, "")</f>
        <v>671</v>
      </c>
      <c r="D673" t="str">
        <f t="shared" si="10"/>
        <v/>
      </c>
    </row>
    <row r="674" spans="1:4">
      <c r="A674" s="42" t="s">
        <v>736</v>
      </c>
      <c r="B674">
        <f>IFERROR(FIND('Simulador IR 2025'!$I$29, A674), 0)</f>
        <v>1</v>
      </c>
      <c r="C674">
        <f>IF(B674&gt;0, MAX($C$2:C673)+1, "")</f>
        <v>672</v>
      </c>
      <c r="D674" t="str">
        <f t="shared" si="10"/>
        <v/>
      </c>
    </row>
    <row r="675" spans="1:4">
      <c r="A675" s="42" t="s">
        <v>737</v>
      </c>
      <c r="B675">
        <f>IFERROR(FIND('Simulador IR 2025'!$I$29, A675), 0)</f>
        <v>1</v>
      </c>
      <c r="C675">
        <f>IF(B675&gt;0, MAX($C$2:C674)+1, "")</f>
        <v>673</v>
      </c>
      <c r="D675" t="str">
        <f t="shared" si="10"/>
        <v/>
      </c>
    </row>
    <row r="676" spans="1:4">
      <c r="A676" s="42" t="s">
        <v>738</v>
      </c>
      <c r="B676">
        <f>IFERROR(FIND('Simulador IR 2025'!$I$29, A676), 0)</f>
        <v>1</v>
      </c>
      <c r="C676">
        <f>IF(B676&gt;0, MAX($C$2:C675)+1, "")</f>
        <v>674</v>
      </c>
      <c r="D676" t="str">
        <f t="shared" si="10"/>
        <v/>
      </c>
    </row>
    <row r="677" spans="1:4">
      <c r="A677" s="42" t="s">
        <v>739</v>
      </c>
      <c r="B677">
        <f>IFERROR(FIND('Simulador IR 2025'!$I$29, A677), 0)</f>
        <v>1</v>
      </c>
      <c r="C677">
        <f>IF(B677&gt;0, MAX($C$2:C676)+1, "")</f>
        <v>675</v>
      </c>
      <c r="D677" t="str">
        <f t="shared" si="10"/>
        <v/>
      </c>
    </row>
    <row r="678" spans="1:4">
      <c r="A678" s="42" t="s">
        <v>740</v>
      </c>
      <c r="B678">
        <f>IFERROR(FIND('Simulador IR 2025'!$I$29, A678), 0)</f>
        <v>1</v>
      </c>
      <c r="C678">
        <f>IF(B678&gt;0, MAX($C$2:C677)+1, "")</f>
        <v>676</v>
      </c>
      <c r="D678" t="str">
        <f t="shared" si="10"/>
        <v/>
      </c>
    </row>
    <row r="679" spans="1:4">
      <c r="A679" s="42" t="s">
        <v>741</v>
      </c>
      <c r="B679">
        <f>IFERROR(FIND('Simulador IR 2025'!$I$29, A679), 0)</f>
        <v>1</v>
      </c>
      <c r="C679">
        <f>IF(B679&gt;0, MAX($C$2:C678)+1, "")</f>
        <v>677</v>
      </c>
      <c r="D679" t="str">
        <f t="shared" si="10"/>
        <v/>
      </c>
    </row>
    <row r="680" spans="1:4">
      <c r="A680" s="42" t="s">
        <v>742</v>
      </c>
      <c r="B680">
        <f>IFERROR(FIND('Simulador IR 2025'!$I$29, A680), 0)</f>
        <v>1</v>
      </c>
      <c r="C680">
        <f>IF(B680&gt;0, MAX($C$2:C679)+1, "")</f>
        <v>678</v>
      </c>
      <c r="D680" t="str">
        <f t="shared" si="10"/>
        <v/>
      </c>
    </row>
    <row r="681" spans="1:4">
      <c r="A681" s="42" t="s">
        <v>743</v>
      </c>
      <c r="B681">
        <f>IFERROR(FIND('Simulador IR 2025'!$I$29, A681), 0)</f>
        <v>1</v>
      </c>
      <c r="C681">
        <f>IF(B681&gt;0, MAX($C$2:C680)+1, "")</f>
        <v>679</v>
      </c>
      <c r="D681" t="str">
        <f t="shared" si="10"/>
        <v/>
      </c>
    </row>
    <row r="682" spans="1:4">
      <c r="A682" s="42" t="s">
        <v>744</v>
      </c>
      <c r="B682">
        <f>IFERROR(FIND('Simulador IR 2025'!$I$29, A682), 0)</f>
        <v>1</v>
      </c>
      <c r="C682">
        <f>IF(B682&gt;0, MAX($C$2:C681)+1, "")</f>
        <v>680</v>
      </c>
      <c r="D682" t="str">
        <f t="shared" si="10"/>
        <v/>
      </c>
    </row>
    <row r="683" spans="1:4">
      <c r="A683" s="42" t="s">
        <v>745</v>
      </c>
      <c r="B683">
        <f>IFERROR(FIND('Simulador IR 2025'!$I$29, A683), 0)</f>
        <v>1</v>
      </c>
      <c r="C683">
        <f>IF(B683&gt;0, MAX($C$2:C682)+1, "")</f>
        <v>681</v>
      </c>
      <c r="D683" t="str">
        <f t="shared" si="10"/>
        <v/>
      </c>
    </row>
    <row r="684" spans="1:4">
      <c r="A684" s="42" t="s">
        <v>746</v>
      </c>
      <c r="B684">
        <f>IFERROR(FIND('Simulador IR 2025'!$I$29, A684), 0)</f>
        <v>1</v>
      </c>
      <c r="C684">
        <f>IF(B684&gt;0, MAX($C$2:C683)+1, "")</f>
        <v>682</v>
      </c>
      <c r="D684" t="str">
        <f t="shared" si="10"/>
        <v/>
      </c>
    </row>
    <row r="685" spans="1:4">
      <c r="A685" s="42" t="s">
        <v>747</v>
      </c>
      <c r="B685">
        <f>IFERROR(FIND('Simulador IR 2025'!$I$29, A685), 0)</f>
        <v>1</v>
      </c>
      <c r="C685">
        <f>IF(B685&gt;0, MAX($C$2:C684)+1, "")</f>
        <v>683</v>
      </c>
      <c r="D685" t="str">
        <f t="shared" si="10"/>
        <v/>
      </c>
    </row>
    <row r="686" spans="1:4">
      <c r="A686" s="42" t="s">
        <v>748</v>
      </c>
      <c r="B686">
        <f>IFERROR(FIND('Simulador IR 2025'!$I$29, A686), 0)</f>
        <v>1</v>
      </c>
      <c r="C686">
        <f>IF(B686&gt;0, MAX($C$2:C685)+1, "")</f>
        <v>684</v>
      </c>
      <c r="D686" t="str">
        <f t="shared" si="10"/>
        <v/>
      </c>
    </row>
    <row r="687" spans="1:4">
      <c r="A687" s="42" t="s">
        <v>749</v>
      </c>
      <c r="B687">
        <f>IFERROR(FIND('Simulador IR 2025'!$I$29, A687), 0)</f>
        <v>1</v>
      </c>
      <c r="C687">
        <f>IF(B687&gt;0, MAX($C$2:C686)+1, "")</f>
        <v>685</v>
      </c>
      <c r="D687" t="str">
        <f t="shared" si="10"/>
        <v/>
      </c>
    </row>
    <row r="688" spans="1:4">
      <c r="A688" s="42" t="s">
        <v>750</v>
      </c>
      <c r="B688">
        <f>IFERROR(FIND('Simulador IR 2025'!$I$29, A688), 0)</f>
        <v>1</v>
      </c>
      <c r="C688">
        <f>IF(B688&gt;0, MAX($C$2:C687)+1, "")</f>
        <v>686</v>
      </c>
      <c r="D688" t="str">
        <f t="shared" si="10"/>
        <v/>
      </c>
    </row>
    <row r="689" spans="1:4">
      <c r="A689" s="42" t="s">
        <v>751</v>
      </c>
      <c r="B689">
        <f>IFERROR(FIND('Simulador IR 2025'!$I$29, A689), 0)</f>
        <v>1</v>
      </c>
      <c r="C689">
        <f>IF(B689&gt;0, MAX($C$2:C688)+1, "")</f>
        <v>687</v>
      </c>
      <c r="D689" t="str">
        <f t="shared" si="10"/>
        <v/>
      </c>
    </row>
    <row r="690" spans="1:4">
      <c r="A690" s="42" t="s">
        <v>752</v>
      </c>
      <c r="B690">
        <f>IFERROR(FIND('Simulador IR 2025'!$I$29, A690), 0)</f>
        <v>1</v>
      </c>
      <c r="C690">
        <f>IF(B690&gt;0, MAX($C$2:C689)+1, "")</f>
        <v>688</v>
      </c>
      <c r="D690" t="str">
        <f t="shared" si="10"/>
        <v/>
      </c>
    </row>
    <row r="691" spans="1:4">
      <c r="A691" s="42" t="s">
        <v>753</v>
      </c>
      <c r="B691">
        <f>IFERROR(FIND('Simulador IR 2025'!$I$29, A691), 0)</f>
        <v>1</v>
      </c>
      <c r="C691">
        <f>IF(B691&gt;0, MAX($C$2:C690)+1, "")</f>
        <v>689</v>
      </c>
      <c r="D691" t="str">
        <f t="shared" si="10"/>
        <v/>
      </c>
    </row>
    <row r="692" spans="1:4">
      <c r="A692" s="42" t="s">
        <v>754</v>
      </c>
      <c r="B692">
        <f>IFERROR(FIND('Simulador IR 2025'!$I$29, A692), 0)</f>
        <v>1</v>
      </c>
      <c r="C692">
        <f>IF(B692&gt;0, MAX($C$2:C691)+1, "")</f>
        <v>690</v>
      </c>
      <c r="D692" t="str">
        <f t="shared" si="10"/>
        <v/>
      </c>
    </row>
    <row r="693" spans="1:4">
      <c r="A693" s="42" t="s">
        <v>755</v>
      </c>
      <c r="B693">
        <f>IFERROR(FIND('Simulador IR 2025'!$I$29, A693), 0)</f>
        <v>1</v>
      </c>
      <c r="C693">
        <f>IF(B693&gt;0, MAX($C$2:C692)+1, "")</f>
        <v>691</v>
      </c>
      <c r="D693" t="str">
        <f t="shared" si="10"/>
        <v/>
      </c>
    </row>
    <row r="694" spans="1:4">
      <c r="A694" s="42" t="s">
        <v>756</v>
      </c>
      <c r="B694">
        <f>IFERROR(FIND('Simulador IR 2025'!$I$29, A694), 0)</f>
        <v>1</v>
      </c>
      <c r="C694">
        <f>IF(B694&gt;0, MAX($C$2:C693)+1, "")</f>
        <v>692</v>
      </c>
      <c r="D694" t="str">
        <f t="shared" si="10"/>
        <v/>
      </c>
    </row>
    <row r="695" spans="1:4">
      <c r="A695" s="42" t="s">
        <v>757</v>
      </c>
      <c r="B695">
        <f>IFERROR(FIND('Simulador IR 2025'!$I$29, A695), 0)</f>
        <v>1</v>
      </c>
      <c r="C695">
        <f>IF(B695&gt;0, MAX($C$2:C694)+1, "")</f>
        <v>693</v>
      </c>
      <c r="D695" t="str">
        <f t="shared" si="10"/>
        <v/>
      </c>
    </row>
    <row r="696" spans="1:4">
      <c r="A696" s="42" t="s">
        <v>758</v>
      </c>
      <c r="B696">
        <f>IFERROR(FIND('Simulador IR 2025'!$I$29, A696), 0)</f>
        <v>1</v>
      </c>
      <c r="C696">
        <f>IF(B696&gt;0, MAX($C$2:C695)+1, "")</f>
        <v>694</v>
      </c>
      <c r="D696" t="str">
        <f t="shared" si="10"/>
        <v/>
      </c>
    </row>
    <row r="697" spans="1:4">
      <c r="A697" s="42" t="s">
        <v>759</v>
      </c>
      <c r="B697">
        <f>IFERROR(FIND('Simulador IR 2025'!$I$29, A697), 0)</f>
        <v>1</v>
      </c>
      <c r="C697">
        <f>IF(B697&gt;0, MAX($C$2:C696)+1, "")</f>
        <v>695</v>
      </c>
      <c r="D697" t="str">
        <f t="shared" si="10"/>
        <v/>
      </c>
    </row>
    <row r="698" spans="1:4">
      <c r="A698" s="42" t="s">
        <v>760</v>
      </c>
      <c r="B698">
        <f>IFERROR(FIND('Simulador IR 2025'!$I$29, A698), 0)</f>
        <v>1</v>
      </c>
      <c r="C698">
        <f>IF(B698&gt;0, MAX($C$2:C697)+1, "")</f>
        <v>696</v>
      </c>
      <c r="D698" t="str">
        <f t="shared" si="10"/>
        <v/>
      </c>
    </row>
    <row r="699" spans="1:4">
      <c r="A699" s="42" t="s">
        <v>761</v>
      </c>
      <c r="B699">
        <f>IFERROR(FIND('Simulador IR 2025'!$I$29, A699), 0)</f>
        <v>1</v>
      </c>
      <c r="C699">
        <f>IF(B699&gt;0, MAX($C$2:C698)+1, "")</f>
        <v>697</v>
      </c>
      <c r="D699" t="str">
        <f t="shared" si="10"/>
        <v/>
      </c>
    </row>
    <row r="700" spans="1:4">
      <c r="A700" s="42" t="s">
        <v>762</v>
      </c>
      <c r="B700">
        <f>IFERROR(FIND('Simulador IR 2025'!$I$29, A700), 0)</f>
        <v>1</v>
      </c>
      <c r="C700">
        <f>IF(B700&gt;0, MAX($C$2:C699)+1, "")</f>
        <v>698</v>
      </c>
      <c r="D700" t="str">
        <f t="shared" si="10"/>
        <v/>
      </c>
    </row>
    <row r="701" spans="1:4">
      <c r="A701" s="42" t="s">
        <v>763</v>
      </c>
      <c r="B701">
        <f>IFERROR(FIND('Simulador IR 2025'!$I$29, A701), 0)</f>
        <v>1</v>
      </c>
      <c r="C701">
        <f>IF(B701&gt;0, MAX($C$2:C700)+1, "")</f>
        <v>699</v>
      </c>
      <c r="D701" t="str">
        <f t="shared" si="10"/>
        <v/>
      </c>
    </row>
    <row r="702" spans="1:4">
      <c r="A702" s="42" t="s">
        <v>764</v>
      </c>
      <c r="B702">
        <f>IFERROR(FIND('Simulador IR 2025'!$I$29, A702), 0)</f>
        <v>1</v>
      </c>
      <c r="C702">
        <f>IF(B702&gt;0, MAX($C$2:C701)+1, "")</f>
        <v>700</v>
      </c>
      <c r="D702" t="str">
        <f t="shared" si="10"/>
        <v/>
      </c>
    </row>
    <row r="703" spans="1:4">
      <c r="A703" s="42" t="s">
        <v>765</v>
      </c>
      <c r="B703">
        <f>IFERROR(FIND('Simulador IR 2025'!$I$29, A703), 0)</f>
        <v>1</v>
      </c>
      <c r="C703">
        <f>IF(B703&gt;0, MAX($C$2:C702)+1, "")</f>
        <v>701</v>
      </c>
      <c r="D703" t="str">
        <f t="shared" si="10"/>
        <v/>
      </c>
    </row>
    <row r="704" spans="1:4">
      <c r="A704" s="42" t="s">
        <v>766</v>
      </c>
      <c r="B704">
        <f>IFERROR(FIND('Simulador IR 2025'!$I$29, A704), 0)</f>
        <v>1</v>
      </c>
      <c r="C704">
        <f>IF(B704&gt;0, MAX($C$2:C703)+1, "")</f>
        <v>702</v>
      </c>
      <c r="D704" t="str">
        <f t="shared" si="10"/>
        <v/>
      </c>
    </row>
    <row r="705" spans="1:4">
      <c r="A705" s="42" t="s">
        <v>767</v>
      </c>
      <c r="B705">
        <f>IFERROR(FIND('Simulador IR 2025'!$I$29, A705), 0)</f>
        <v>1</v>
      </c>
      <c r="C705">
        <f>IF(B705&gt;0, MAX($C$2:C704)+1, "")</f>
        <v>703</v>
      </c>
      <c r="D705" t="str">
        <f t="shared" si="10"/>
        <v/>
      </c>
    </row>
    <row r="706" spans="1:4">
      <c r="A706" s="42" t="s">
        <v>768</v>
      </c>
      <c r="B706">
        <f>IFERROR(FIND('Simulador IR 2025'!$I$29, A706), 0)</f>
        <v>1</v>
      </c>
      <c r="C706">
        <f>IF(B706&gt;0, MAX($C$2:C705)+1, "")</f>
        <v>704</v>
      </c>
      <c r="D706" t="str">
        <f t="shared" si="10"/>
        <v/>
      </c>
    </row>
    <row r="707" spans="1:4">
      <c r="A707" s="42" t="s">
        <v>769</v>
      </c>
      <c r="B707">
        <f>IFERROR(FIND('Simulador IR 2025'!$I$29, A707), 0)</f>
        <v>1</v>
      </c>
      <c r="C707">
        <f>IF(B707&gt;0, MAX($C$2:C706)+1, "")</f>
        <v>705</v>
      </c>
      <c r="D707" t="str">
        <f t="shared" si="10"/>
        <v/>
      </c>
    </row>
    <row r="708" spans="1:4">
      <c r="A708" s="42" t="s">
        <v>770</v>
      </c>
      <c r="B708">
        <f>IFERROR(FIND('Simulador IR 2025'!$I$29, A708), 0)</f>
        <v>1</v>
      </c>
      <c r="C708">
        <f>IF(B708&gt;0, MAX($C$2:C707)+1, "")</f>
        <v>706</v>
      </c>
      <c r="D708" t="str">
        <f t="shared" ref="D708:D771" si="11">IFERROR(VLOOKUP(ROW(A706), $A$3:$C$2681, -2, FALSE), "")</f>
        <v/>
      </c>
    </row>
    <row r="709" spans="1:4">
      <c r="A709" s="42" t="s">
        <v>771</v>
      </c>
      <c r="B709">
        <f>IFERROR(FIND('Simulador IR 2025'!$I$29, A709), 0)</f>
        <v>1</v>
      </c>
      <c r="C709">
        <f>IF(B709&gt;0, MAX($C$2:C708)+1, "")</f>
        <v>707</v>
      </c>
      <c r="D709" t="str">
        <f t="shared" si="11"/>
        <v/>
      </c>
    </row>
    <row r="710" spans="1:4">
      <c r="A710" s="42" t="s">
        <v>772</v>
      </c>
      <c r="B710">
        <f>IFERROR(FIND('Simulador IR 2025'!$I$29, A710), 0)</f>
        <v>1</v>
      </c>
      <c r="C710">
        <f>IF(B710&gt;0, MAX($C$2:C709)+1, "")</f>
        <v>708</v>
      </c>
      <c r="D710" t="str">
        <f t="shared" si="11"/>
        <v/>
      </c>
    </row>
    <row r="711" spans="1:4">
      <c r="A711" s="42" t="s">
        <v>773</v>
      </c>
      <c r="B711">
        <f>IFERROR(FIND('Simulador IR 2025'!$I$29, A711), 0)</f>
        <v>1</v>
      </c>
      <c r="C711">
        <f>IF(B711&gt;0, MAX($C$2:C710)+1, "")</f>
        <v>709</v>
      </c>
      <c r="D711" t="str">
        <f t="shared" si="11"/>
        <v/>
      </c>
    </row>
    <row r="712" spans="1:4">
      <c r="A712" s="42" t="s">
        <v>774</v>
      </c>
      <c r="B712">
        <f>IFERROR(FIND('Simulador IR 2025'!$I$29, A712), 0)</f>
        <v>1</v>
      </c>
      <c r="C712">
        <f>IF(B712&gt;0, MAX($C$2:C711)+1, "")</f>
        <v>710</v>
      </c>
      <c r="D712" t="str">
        <f t="shared" si="11"/>
        <v/>
      </c>
    </row>
    <row r="713" spans="1:4">
      <c r="A713" s="42" t="s">
        <v>775</v>
      </c>
      <c r="B713">
        <f>IFERROR(FIND('Simulador IR 2025'!$I$29, A713), 0)</f>
        <v>1</v>
      </c>
      <c r="C713">
        <f>IF(B713&gt;0, MAX($C$2:C712)+1, "")</f>
        <v>711</v>
      </c>
      <c r="D713" t="str">
        <f t="shared" si="11"/>
        <v/>
      </c>
    </row>
    <row r="714" spans="1:4">
      <c r="A714" s="42" t="s">
        <v>776</v>
      </c>
      <c r="B714">
        <f>IFERROR(FIND('Simulador IR 2025'!$I$29, A714), 0)</f>
        <v>1</v>
      </c>
      <c r="C714">
        <f>IF(B714&gt;0, MAX($C$2:C713)+1, "")</f>
        <v>712</v>
      </c>
      <c r="D714" t="str">
        <f t="shared" si="11"/>
        <v/>
      </c>
    </row>
    <row r="715" spans="1:4">
      <c r="A715" s="42" t="s">
        <v>777</v>
      </c>
      <c r="B715">
        <f>IFERROR(FIND('Simulador IR 2025'!$I$29, A715), 0)</f>
        <v>1</v>
      </c>
      <c r="C715">
        <f>IF(B715&gt;0, MAX($C$2:C714)+1, "")</f>
        <v>713</v>
      </c>
      <c r="D715" t="str">
        <f t="shared" si="11"/>
        <v/>
      </c>
    </row>
    <row r="716" spans="1:4">
      <c r="A716" s="42" t="s">
        <v>778</v>
      </c>
      <c r="B716">
        <f>IFERROR(FIND('Simulador IR 2025'!$I$29, A716), 0)</f>
        <v>1</v>
      </c>
      <c r="C716">
        <f>IF(B716&gt;0, MAX($C$2:C715)+1, "")</f>
        <v>714</v>
      </c>
      <c r="D716" t="str">
        <f t="shared" si="11"/>
        <v/>
      </c>
    </row>
    <row r="717" spans="1:4">
      <c r="A717" s="42" t="s">
        <v>779</v>
      </c>
      <c r="B717">
        <f>IFERROR(FIND('Simulador IR 2025'!$I$29, A717), 0)</f>
        <v>1</v>
      </c>
      <c r="C717">
        <f>IF(B717&gt;0, MAX($C$2:C716)+1, "")</f>
        <v>715</v>
      </c>
      <c r="D717" t="str">
        <f t="shared" si="11"/>
        <v/>
      </c>
    </row>
    <row r="718" spans="1:4">
      <c r="A718" s="42" t="s">
        <v>780</v>
      </c>
      <c r="B718">
        <f>IFERROR(FIND('Simulador IR 2025'!$I$29, A718), 0)</f>
        <v>1</v>
      </c>
      <c r="C718">
        <f>IF(B718&gt;0, MAX($C$2:C717)+1, "")</f>
        <v>716</v>
      </c>
      <c r="D718" t="str">
        <f t="shared" si="11"/>
        <v/>
      </c>
    </row>
    <row r="719" spans="1:4">
      <c r="A719" s="42" t="s">
        <v>781</v>
      </c>
      <c r="B719">
        <f>IFERROR(FIND('Simulador IR 2025'!$I$29, A719), 0)</f>
        <v>1</v>
      </c>
      <c r="C719">
        <f>IF(B719&gt;0, MAX($C$2:C718)+1, "")</f>
        <v>717</v>
      </c>
      <c r="D719" t="str">
        <f t="shared" si="11"/>
        <v/>
      </c>
    </row>
    <row r="720" spans="1:4">
      <c r="A720" s="42" t="s">
        <v>782</v>
      </c>
      <c r="B720">
        <f>IFERROR(FIND('Simulador IR 2025'!$I$29, A720), 0)</f>
        <v>1</v>
      </c>
      <c r="C720">
        <f>IF(B720&gt;0, MAX($C$2:C719)+1, "")</f>
        <v>718</v>
      </c>
      <c r="D720" t="str">
        <f t="shared" si="11"/>
        <v/>
      </c>
    </row>
    <row r="721" spans="1:4">
      <c r="A721" s="42" t="s">
        <v>783</v>
      </c>
      <c r="B721">
        <f>IFERROR(FIND('Simulador IR 2025'!$I$29, A721), 0)</f>
        <v>1</v>
      </c>
      <c r="C721">
        <f>IF(B721&gt;0, MAX($C$2:C720)+1, "")</f>
        <v>719</v>
      </c>
      <c r="D721" t="str">
        <f t="shared" si="11"/>
        <v/>
      </c>
    </row>
    <row r="722" spans="1:4">
      <c r="A722" s="42" t="s">
        <v>784</v>
      </c>
      <c r="B722">
        <f>IFERROR(FIND('Simulador IR 2025'!$I$29, A722), 0)</f>
        <v>1</v>
      </c>
      <c r="C722">
        <f>IF(B722&gt;0, MAX($C$2:C721)+1, "")</f>
        <v>720</v>
      </c>
      <c r="D722" t="str">
        <f t="shared" si="11"/>
        <v/>
      </c>
    </row>
    <row r="723" spans="1:4">
      <c r="A723" s="42" t="s">
        <v>785</v>
      </c>
      <c r="B723">
        <f>IFERROR(FIND('Simulador IR 2025'!$I$29, A723), 0)</f>
        <v>1</v>
      </c>
      <c r="C723">
        <f>IF(B723&gt;0, MAX($C$2:C722)+1, "")</f>
        <v>721</v>
      </c>
      <c r="D723" t="str">
        <f t="shared" si="11"/>
        <v/>
      </c>
    </row>
    <row r="724" spans="1:4">
      <c r="A724" s="42" t="s">
        <v>786</v>
      </c>
      <c r="B724">
        <f>IFERROR(FIND('Simulador IR 2025'!$I$29, A724), 0)</f>
        <v>1</v>
      </c>
      <c r="C724">
        <f>IF(B724&gt;0, MAX($C$2:C723)+1, "")</f>
        <v>722</v>
      </c>
      <c r="D724" t="str">
        <f t="shared" si="11"/>
        <v/>
      </c>
    </row>
    <row r="725" spans="1:4">
      <c r="A725" s="42" t="s">
        <v>787</v>
      </c>
      <c r="B725">
        <f>IFERROR(FIND('Simulador IR 2025'!$I$29, A725), 0)</f>
        <v>1</v>
      </c>
      <c r="C725">
        <f>IF(B725&gt;0, MAX($C$2:C724)+1, "")</f>
        <v>723</v>
      </c>
      <c r="D725" t="str">
        <f t="shared" si="11"/>
        <v/>
      </c>
    </row>
    <row r="726" spans="1:4">
      <c r="A726" s="42" t="s">
        <v>788</v>
      </c>
      <c r="B726">
        <f>IFERROR(FIND('Simulador IR 2025'!$I$29, A726), 0)</f>
        <v>1</v>
      </c>
      <c r="C726">
        <f>IF(B726&gt;0, MAX($C$2:C725)+1, "")</f>
        <v>724</v>
      </c>
      <c r="D726" t="str">
        <f t="shared" si="11"/>
        <v/>
      </c>
    </row>
    <row r="727" spans="1:4">
      <c r="A727" s="42" t="s">
        <v>789</v>
      </c>
      <c r="B727">
        <f>IFERROR(FIND('Simulador IR 2025'!$I$29, A727), 0)</f>
        <v>1</v>
      </c>
      <c r="C727">
        <f>IF(B727&gt;0, MAX($C$2:C726)+1, "")</f>
        <v>725</v>
      </c>
      <c r="D727" t="str">
        <f t="shared" si="11"/>
        <v/>
      </c>
    </row>
    <row r="728" spans="1:4">
      <c r="A728" s="42" t="s">
        <v>790</v>
      </c>
      <c r="B728">
        <f>IFERROR(FIND('Simulador IR 2025'!$I$29, A728), 0)</f>
        <v>1</v>
      </c>
      <c r="C728">
        <f>IF(B728&gt;0, MAX($C$2:C727)+1, "")</f>
        <v>726</v>
      </c>
      <c r="D728" t="str">
        <f t="shared" si="11"/>
        <v/>
      </c>
    </row>
    <row r="729" spans="1:4">
      <c r="A729" s="42" t="s">
        <v>791</v>
      </c>
      <c r="B729">
        <f>IFERROR(FIND('Simulador IR 2025'!$I$29, A729), 0)</f>
        <v>1</v>
      </c>
      <c r="C729">
        <f>IF(B729&gt;0, MAX($C$2:C728)+1, "")</f>
        <v>727</v>
      </c>
      <c r="D729" t="str">
        <f t="shared" si="11"/>
        <v/>
      </c>
    </row>
    <row r="730" spans="1:4">
      <c r="A730" s="42" t="s">
        <v>792</v>
      </c>
      <c r="B730">
        <f>IFERROR(FIND('Simulador IR 2025'!$I$29, A730), 0)</f>
        <v>1</v>
      </c>
      <c r="C730">
        <f>IF(B730&gt;0, MAX($C$2:C729)+1, "")</f>
        <v>728</v>
      </c>
      <c r="D730" t="str">
        <f t="shared" si="11"/>
        <v/>
      </c>
    </row>
    <row r="731" spans="1:4">
      <c r="A731" s="42" t="s">
        <v>793</v>
      </c>
      <c r="B731">
        <f>IFERROR(FIND('Simulador IR 2025'!$I$29, A731), 0)</f>
        <v>1</v>
      </c>
      <c r="C731">
        <f>IF(B731&gt;0, MAX($C$2:C730)+1, "")</f>
        <v>729</v>
      </c>
      <c r="D731" t="str">
        <f t="shared" si="11"/>
        <v/>
      </c>
    </row>
    <row r="732" spans="1:4">
      <c r="A732" s="42" t="s">
        <v>794</v>
      </c>
      <c r="B732">
        <f>IFERROR(FIND('Simulador IR 2025'!$I$29, A732), 0)</f>
        <v>1</v>
      </c>
      <c r="C732">
        <f>IF(B732&gt;0, MAX($C$2:C731)+1, "")</f>
        <v>730</v>
      </c>
      <c r="D732" t="str">
        <f t="shared" si="11"/>
        <v/>
      </c>
    </row>
    <row r="733" spans="1:4">
      <c r="A733" s="42" t="s">
        <v>795</v>
      </c>
      <c r="B733">
        <f>IFERROR(FIND('Simulador IR 2025'!$I$29, A733), 0)</f>
        <v>1</v>
      </c>
      <c r="C733">
        <f>IF(B733&gt;0, MAX($C$2:C732)+1, "")</f>
        <v>731</v>
      </c>
      <c r="D733" t="str">
        <f t="shared" si="11"/>
        <v/>
      </c>
    </row>
    <row r="734" spans="1:4">
      <c r="A734" s="42" t="s">
        <v>796</v>
      </c>
      <c r="B734">
        <f>IFERROR(FIND('Simulador IR 2025'!$I$29, A734), 0)</f>
        <v>1</v>
      </c>
      <c r="C734">
        <f>IF(B734&gt;0, MAX($C$2:C733)+1, "")</f>
        <v>732</v>
      </c>
      <c r="D734" t="str">
        <f t="shared" si="11"/>
        <v/>
      </c>
    </row>
    <row r="735" spans="1:4">
      <c r="A735" s="42" t="s">
        <v>797</v>
      </c>
      <c r="B735">
        <f>IFERROR(FIND('Simulador IR 2025'!$I$29, A735), 0)</f>
        <v>1</v>
      </c>
      <c r="C735">
        <f>IF(B735&gt;0, MAX($C$2:C734)+1, "")</f>
        <v>733</v>
      </c>
      <c r="D735" t="str">
        <f t="shared" si="11"/>
        <v/>
      </c>
    </row>
    <row r="736" spans="1:4">
      <c r="A736" s="42" t="s">
        <v>798</v>
      </c>
      <c r="B736">
        <f>IFERROR(FIND('Simulador IR 2025'!$I$29, A736), 0)</f>
        <v>1</v>
      </c>
      <c r="C736">
        <f>IF(B736&gt;0, MAX($C$2:C735)+1, "")</f>
        <v>734</v>
      </c>
      <c r="D736" t="str">
        <f t="shared" si="11"/>
        <v/>
      </c>
    </row>
    <row r="737" spans="1:4">
      <c r="A737" s="42" t="s">
        <v>799</v>
      </c>
      <c r="B737">
        <f>IFERROR(FIND('Simulador IR 2025'!$I$29, A737), 0)</f>
        <v>1</v>
      </c>
      <c r="C737">
        <f>IF(B737&gt;0, MAX($C$2:C736)+1, "")</f>
        <v>735</v>
      </c>
      <c r="D737" t="str">
        <f t="shared" si="11"/>
        <v/>
      </c>
    </row>
    <row r="738" spans="1:4">
      <c r="A738" s="42" t="s">
        <v>800</v>
      </c>
      <c r="B738">
        <f>IFERROR(FIND('Simulador IR 2025'!$I$29, A738), 0)</f>
        <v>1</v>
      </c>
      <c r="C738">
        <f>IF(B738&gt;0, MAX($C$2:C737)+1, "")</f>
        <v>736</v>
      </c>
      <c r="D738" t="str">
        <f t="shared" si="11"/>
        <v/>
      </c>
    </row>
    <row r="739" spans="1:4">
      <c r="A739" s="42" t="s">
        <v>801</v>
      </c>
      <c r="B739">
        <f>IFERROR(FIND('Simulador IR 2025'!$I$29, A739), 0)</f>
        <v>1</v>
      </c>
      <c r="C739">
        <f>IF(B739&gt;0, MAX($C$2:C738)+1, "")</f>
        <v>737</v>
      </c>
      <c r="D739" t="str">
        <f t="shared" si="11"/>
        <v/>
      </c>
    </row>
    <row r="740" spans="1:4">
      <c r="A740" s="42" t="s">
        <v>802</v>
      </c>
      <c r="B740">
        <f>IFERROR(FIND('Simulador IR 2025'!$I$29, A740), 0)</f>
        <v>1</v>
      </c>
      <c r="C740">
        <f>IF(B740&gt;0, MAX($C$2:C739)+1, "")</f>
        <v>738</v>
      </c>
      <c r="D740" t="str">
        <f t="shared" si="11"/>
        <v/>
      </c>
    </row>
    <row r="741" spans="1:4">
      <c r="A741" s="42" t="s">
        <v>803</v>
      </c>
      <c r="B741">
        <f>IFERROR(FIND('Simulador IR 2025'!$I$29, A741), 0)</f>
        <v>1</v>
      </c>
      <c r="C741">
        <f>IF(B741&gt;0, MAX($C$2:C740)+1, "")</f>
        <v>739</v>
      </c>
      <c r="D741" t="str">
        <f t="shared" si="11"/>
        <v/>
      </c>
    </row>
    <row r="742" spans="1:4">
      <c r="A742" s="42" t="s">
        <v>804</v>
      </c>
      <c r="B742">
        <f>IFERROR(FIND('Simulador IR 2025'!$I$29, A742), 0)</f>
        <v>1</v>
      </c>
      <c r="C742">
        <f>IF(B742&gt;0, MAX($C$2:C741)+1, "")</f>
        <v>740</v>
      </c>
      <c r="D742" t="str">
        <f t="shared" si="11"/>
        <v/>
      </c>
    </row>
    <row r="743" spans="1:4">
      <c r="A743" s="42" t="s">
        <v>805</v>
      </c>
      <c r="B743">
        <f>IFERROR(FIND('Simulador IR 2025'!$I$29, A743), 0)</f>
        <v>1</v>
      </c>
      <c r="C743">
        <f>IF(B743&gt;0, MAX($C$2:C742)+1, "")</f>
        <v>741</v>
      </c>
      <c r="D743" t="str">
        <f t="shared" si="11"/>
        <v/>
      </c>
    </row>
    <row r="744" spans="1:4">
      <c r="A744" s="42" t="s">
        <v>806</v>
      </c>
      <c r="B744">
        <f>IFERROR(FIND('Simulador IR 2025'!$I$29, A744), 0)</f>
        <v>1</v>
      </c>
      <c r="C744">
        <f>IF(B744&gt;0, MAX($C$2:C743)+1, "")</f>
        <v>742</v>
      </c>
      <c r="D744" t="str">
        <f t="shared" si="11"/>
        <v/>
      </c>
    </row>
    <row r="745" spans="1:4">
      <c r="A745" s="42" t="s">
        <v>807</v>
      </c>
      <c r="B745">
        <f>IFERROR(FIND('Simulador IR 2025'!$I$29, A745), 0)</f>
        <v>1</v>
      </c>
      <c r="C745">
        <f>IF(B745&gt;0, MAX($C$2:C744)+1, "")</f>
        <v>743</v>
      </c>
      <c r="D745" t="str">
        <f t="shared" si="11"/>
        <v/>
      </c>
    </row>
    <row r="746" spans="1:4">
      <c r="A746" s="42" t="s">
        <v>808</v>
      </c>
      <c r="B746">
        <f>IFERROR(FIND('Simulador IR 2025'!$I$29, A746), 0)</f>
        <v>1</v>
      </c>
      <c r="C746">
        <f>IF(B746&gt;0, MAX($C$2:C745)+1, "")</f>
        <v>744</v>
      </c>
      <c r="D746" t="str">
        <f t="shared" si="11"/>
        <v/>
      </c>
    </row>
    <row r="747" spans="1:4">
      <c r="A747" s="42" t="s">
        <v>809</v>
      </c>
      <c r="B747">
        <f>IFERROR(FIND('Simulador IR 2025'!$I$29, A747), 0)</f>
        <v>1</v>
      </c>
      <c r="C747">
        <f>IF(B747&gt;0, MAX($C$2:C746)+1, "")</f>
        <v>745</v>
      </c>
      <c r="D747" t="str">
        <f t="shared" si="11"/>
        <v/>
      </c>
    </row>
    <row r="748" spans="1:4">
      <c r="A748" s="42" t="s">
        <v>810</v>
      </c>
      <c r="B748">
        <f>IFERROR(FIND('Simulador IR 2025'!$I$29, A748), 0)</f>
        <v>1</v>
      </c>
      <c r="C748">
        <f>IF(B748&gt;0, MAX($C$2:C747)+1, "")</f>
        <v>746</v>
      </c>
      <c r="D748" t="str">
        <f t="shared" si="11"/>
        <v/>
      </c>
    </row>
    <row r="749" spans="1:4">
      <c r="A749" s="42" t="s">
        <v>811</v>
      </c>
      <c r="B749">
        <f>IFERROR(FIND('Simulador IR 2025'!$I$29, A749), 0)</f>
        <v>1</v>
      </c>
      <c r="C749">
        <f>IF(B749&gt;0, MAX($C$2:C748)+1, "")</f>
        <v>747</v>
      </c>
      <c r="D749" t="str">
        <f t="shared" si="11"/>
        <v/>
      </c>
    </row>
    <row r="750" spans="1:4">
      <c r="A750" s="42" t="s">
        <v>812</v>
      </c>
      <c r="B750">
        <f>IFERROR(FIND('Simulador IR 2025'!$I$29, A750), 0)</f>
        <v>1</v>
      </c>
      <c r="C750">
        <f>IF(B750&gt;0, MAX($C$2:C749)+1, "")</f>
        <v>748</v>
      </c>
      <c r="D750" t="str">
        <f t="shared" si="11"/>
        <v/>
      </c>
    </row>
    <row r="751" spans="1:4">
      <c r="A751" s="42" t="s">
        <v>813</v>
      </c>
      <c r="B751">
        <f>IFERROR(FIND('Simulador IR 2025'!$I$29, A751), 0)</f>
        <v>1</v>
      </c>
      <c r="C751">
        <f>IF(B751&gt;0, MAX($C$2:C750)+1, "")</f>
        <v>749</v>
      </c>
      <c r="D751" t="str">
        <f t="shared" si="11"/>
        <v/>
      </c>
    </row>
    <row r="752" spans="1:4">
      <c r="A752" s="42" t="s">
        <v>814</v>
      </c>
      <c r="B752">
        <f>IFERROR(FIND('Simulador IR 2025'!$I$29, A752), 0)</f>
        <v>1</v>
      </c>
      <c r="C752">
        <f>IF(B752&gt;0, MAX($C$2:C751)+1, "")</f>
        <v>750</v>
      </c>
      <c r="D752" t="str">
        <f t="shared" si="11"/>
        <v/>
      </c>
    </row>
    <row r="753" spans="1:4">
      <c r="A753" s="42" t="s">
        <v>815</v>
      </c>
      <c r="B753">
        <f>IFERROR(FIND('Simulador IR 2025'!$I$29, A753), 0)</f>
        <v>1</v>
      </c>
      <c r="C753">
        <f>IF(B753&gt;0, MAX($C$2:C752)+1, "")</f>
        <v>751</v>
      </c>
      <c r="D753" t="str">
        <f t="shared" si="11"/>
        <v/>
      </c>
    </row>
    <row r="754" spans="1:4">
      <c r="A754" s="42" t="s">
        <v>816</v>
      </c>
      <c r="B754">
        <f>IFERROR(FIND('Simulador IR 2025'!$I$29, A754), 0)</f>
        <v>1</v>
      </c>
      <c r="C754">
        <f>IF(B754&gt;0, MAX($C$2:C753)+1, "")</f>
        <v>752</v>
      </c>
      <c r="D754" t="str">
        <f t="shared" si="11"/>
        <v/>
      </c>
    </row>
    <row r="755" spans="1:4">
      <c r="A755" s="42" t="s">
        <v>817</v>
      </c>
      <c r="B755">
        <f>IFERROR(FIND('Simulador IR 2025'!$I$29, A755), 0)</f>
        <v>1</v>
      </c>
      <c r="C755">
        <f>IF(B755&gt;0, MAX($C$2:C754)+1, "")</f>
        <v>753</v>
      </c>
      <c r="D755" t="str">
        <f t="shared" si="11"/>
        <v/>
      </c>
    </row>
    <row r="756" spans="1:4">
      <c r="A756" s="42" t="s">
        <v>818</v>
      </c>
      <c r="B756">
        <f>IFERROR(FIND('Simulador IR 2025'!$I$29, A756), 0)</f>
        <v>1</v>
      </c>
      <c r="C756">
        <f>IF(B756&gt;0, MAX($C$2:C755)+1, "")</f>
        <v>754</v>
      </c>
      <c r="D756" t="str">
        <f t="shared" si="11"/>
        <v/>
      </c>
    </row>
    <row r="757" spans="1:4">
      <c r="A757" s="42" t="s">
        <v>819</v>
      </c>
      <c r="B757">
        <f>IFERROR(FIND('Simulador IR 2025'!$I$29, A757), 0)</f>
        <v>1</v>
      </c>
      <c r="C757">
        <f>IF(B757&gt;0, MAX($C$2:C756)+1, "")</f>
        <v>755</v>
      </c>
      <c r="D757" t="str">
        <f t="shared" si="11"/>
        <v/>
      </c>
    </row>
    <row r="758" spans="1:4">
      <c r="A758" s="42" t="s">
        <v>820</v>
      </c>
      <c r="B758">
        <f>IFERROR(FIND('Simulador IR 2025'!$I$29, A758), 0)</f>
        <v>1</v>
      </c>
      <c r="C758">
        <f>IF(B758&gt;0, MAX($C$2:C757)+1, "")</f>
        <v>756</v>
      </c>
      <c r="D758" t="str">
        <f t="shared" si="11"/>
        <v/>
      </c>
    </row>
    <row r="759" spans="1:4">
      <c r="A759" s="42" t="s">
        <v>821</v>
      </c>
      <c r="B759">
        <f>IFERROR(FIND('Simulador IR 2025'!$I$29, A759), 0)</f>
        <v>1</v>
      </c>
      <c r="C759">
        <f>IF(B759&gt;0, MAX($C$2:C758)+1, "")</f>
        <v>757</v>
      </c>
      <c r="D759" t="str">
        <f t="shared" si="11"/>
        <v/>
      </c>
    </row>
    <row r="760" spans="1:4">
      <c r="A760" s="42" t="s">
        <v>822</v>
      </c>
      <c r="B760">
        <f>IFERROR(FIND('Simulador IR 2025'!$I$29, A760), 0)</f>
        <v>1</v>
      </c>
      <c r="C760">
        <f>IF(B760&gt;0, MAX($C$2:C759)+1, "")</f>
        <v>758</v>
      </c>
      <c r="D760" t="str">
        <f t="shared" si="11"/>
        <v/>
      </c>
    </row>
    <row r="761" spans="1:4">
      <c r="A761" s="42" t="s">
        <v>823</v>
      </c>
      <c r="B761">
        <f>IFERROR(FIND('Simulador IR 2025'!$I$29, A761), 0)</f>
        <v>1</v>
      </c>
      <c r="C761">
        <f>IF(B761&gt;0, MAX($C$2:C760)+1, "")</f>
        <v>759</v>
      </c>
      <c r="D761" t="str">
        <f t="shared" si="11"/>
        <v/>
      </c>
    </row>
    <row r="762" spans="1:4">
      <c r="A762" s="42" t="s">
        <v>824</v>
      </c>
      <c r="B762">
        <f>IFERROR(FIND('Simulador IR 2025'!$I$29, A762), 0)</f>
        <v>1</v>
      </c>
      <c r="C762">
        <f>IF(B762&gt;0, MAX($C$2:C761)+1, "")</f>
        <v>760</v>
      </c>
      <c r="D762" t="str">
        <f t="shared" si="11"/>
        <v/>
      </c>
    </row>
    <row r="763" spans="1:4">
      <c r="A763" s="42" t="s">
        <v>825</v>
      </c>
      <c r="B763">
        <f>IFERROR(FIND('Simulador IR 2025'!$I$29, A763), 0)</f>
        <v>1</v>
      </c>
      <c r="C763">
        <f>IF(B763&gt;0, MAX($C$2:C762)+1, "")</f>
        <v>761</v>
      </c>
      <c r="D763" t="str">
        <f t="shared" si="11"/>
        <v/>
      </c>
    </row>
    <row r="764" spans="1:4">
      <c r="A764" s="42" t="s">
        <v>826</v>
      </c>
      <c r="B764">
        <f>IFERROR(FIND('Simulador IR 2025'!$I$29, A764), 0)</f>
        <v>1</v>
      </c>
      <c r="C764">
        <f>IF(B764&gt;0, MAX($C$2:C763)+1, "")</f>
        <v>762</v>
      </c>
      <c r="D764" t="str">
        <f t="shared" si="11"/>
        <v/>
      </c>
    </row>
    <row r="765" spans="1:4">
      <c r="A765" s="42" t="s">
        <v>827</v>
      </c>
      <c r="B765">
        <f>IFERROR(FIND('Simulador IR 2025'!$I$29, A765), 0)</f>
        <v>1</v>
      </c>
      <c r="C765">
        <f>IF(B765&gt;0, MAX($C$2:C764)+1, "")</f>
        <v>763</v>
      </c>
      <c r="D765" t="str">
        <f t="shared" si="11"/>
        <v/>
      </c>
    </row>
    <row r="766" spans="1:4">
      <c r="A766" s="42" t="s">
        <v>828</v>
      </c>
      <c r="B766">
        <f>IFERROR(FIND('Simulador IR 2025'!$I$29, A766), 0)</f>
        <v>1</v>
      </c>
      <c r="C766">
        <f>IF(B766&gt;0, MAX($C$2:C765)+1, "")</f>
        <v>764</v>
      </c>
      <c r="D766" t="str">
        <f t="shared" si="11"/>
        <v/>
      </c>
    </row>
    <row r="767" spans="1:4">
      <c r="A767" s="42" t="s">
        <v>829</v>
      </c>
      <c r="B767">
        <f>IFERROR(FIND('Simulador IR 2025'!$I$29, A767), 0)</f>
        <v>1</v>
      </c>
      <c r="C767">
        <f>IF(B767&gt;0, MAX($C$2:C766)+1, "")</f>
        <v>765</v>
      </c>
      <c r="D767" t="str">
        <f t="shared" si="11"/>
        <v/>
      </c>
    </row>
    <row r="768" spans="1:4">
      <c r="A768" s="42" t="s">
        <v>830</v>
      </c>
      <c r="B768">
        <f>IFERROR(FIND('Simulador IR 2025'!$I$29, A768), 0)</f>
        <v>1</v>
      </c>
      <c r="C768">
        <f>IF(B768&gt;0, MAX($C$2:C767)+1, "")</f>
        <v>766</v>
      </c>
      <c r="D768" t="str">
        <f t="shared" si="11"/>
        <v/>
      </c>
    </row>
    <row r="769" spans="1:4">
      <c r="A769" s="42" t="s">
        <v>831</v>
      </c>
      <c r="B769">
        <f>IFERROR(FIND('Simulador IR 2025'!$I$29, A769), 0)</f>
        <v>1</v>
      </c>
      <c r="C769">
        <f>IF(B769&gt;0, MAX($C$2:C768)+1, "")</f>
        <v>767</v>
      </c>
      <c r="D769" t="str">
        <f t="shared" si="11"/>
        <v/>
      </c>
    </row>
    <row r="770" spans="1:4">
      <c r="A770" s="42" t="s">
        <v>832</v>
      </c>
      <c r="B770">
        <f>IFERROR(FIND('Simulador IR 2025'!$I$29, A770), 0)</f>
        <v>1</v>
      </c>
      <c r="C770">
        <f>IF(B770&gt;0, MAX($C$2:C769)+1, "")</f>
        <v>768</v>
      </c>
      <c r="D770" t="str">
        <f t="shared" si="11"/>
        <v/>
      </c>
    </row>
    <row r="771" spans="1:4">
      <c r="A771" s="42" t="s">
        <v>833</v>
      </c>
      <c r="B771">
        <f>IFERROR(FIND('Simulador IR 2025'!$I$29, A771), 0)</f>
        <v>1</v>
      </c>
      <c r="C771">
        <f>IF(B771&gt;0, MAX($C$2:C770)+1, "")</f>
        <v>769</v>
      </c>
      <c r="D771" t="str">
        <f t="shared" si="11"/>
        <v/>
      </c>
    </row>
    <row r="772" spans="1:4">
      <c r="A772" s="42" t="s">
        <v>834</v>
      </c>
      <c r="B772">
        <f>IFERROR(FIND('Simulador IR 2025'!$I$29, A772), 0)</f>
        <v>1</v>
      </c>
      <c r="C772">
        <f>IF(B772&gt;0, MAX($C$2:C771)+1, "")</f>
        <v>770</v>
      </c>
      <c r="D772" t="str">
        <f t="shared" ref="D772:D835" si="12">IFERROR(VLOOKUP(ROW(A770), $A$3:$C$2681, -2, FALSE), "")</f>
        <v/>
      </c>
    </row>
    <row r="773" spans="1:4">
      <c r="A773" s="42" t="s">
        <v>835</v>
      </c>
      <c r="B773">
        <f>IFERROR(FIND('Simulador IR 2025'!$I$29, A773), 0)</f>
        <v>1</v>
      </c>
      <c r="C773">
        <f>IF(B773&gt;0, MAX($C$2:C772)+1, "")</f>
        <v>771</v>
      </c>
      <c r="D773" t="str">
        <f t="shared" si="12"/>
        <v/>
      </c>
    </row>
    <row r="774" spans="1:4">
      <c r="A774" s="42" t="s">
        <v>836</v>
      </c>
      <c r="B774">
        <f>IFERROR(FIND('Simulador IR 2025'!$I$29, A774), 0)</f>
        <v>1</v>
      </c>
      <c r="C774">
        <f>IF(B774&gt;0, MAX($C$2:C773)+1, "")</f>
        <v>772</v>
      </c>
      <c r="D774" t="str">
        <f t="shared" si="12"/>
        <v/>
      </c>
    </row>
    <row r="775" spans="1:4">
      <c r="A775" s="42" t="s">
        <v>837</v>
      </c>
      <c r="B775">
        <f>IFERROR(FIND('Simulador IR 2025'!$I$29, A775), 0)</f>
        <v>1</v>
      </c>
      <c r="C775">
        <f>IF(B775&gt;0, MAX($C$2:C774)+1, "")</f>
        <v>773</v>
      </c>
      <c r="D775" t="str">
        <f t="shared" si="12"/>
        <v/>
      </c>
    </row>
    <row r="776" spans="1:4">
      <c r="A776" s="42" t="s">
        <v>838</v>
      </c>
      <c r="B776">
        <f>IFERROR(FIND('Simulador IR 2025'!$I$29, A776), 0)</f>
        <v>1</v>
      </c>
      <c r="C776">
        <f>IF(B776&gt;0, MAX($C$2:C775)+1, "")</f>
        <v>774</v>
      </c>
      <c r="D776" t="str">
        <f t="shared" si="12"/>
        <v/>
      </c>
    </row>
    <row r="777" spans="1:4">
      <c r="A777" s="42" t="s">
        <v>839</v>
      </c>
      <c r="B777">
        <f>IFERROR(FIND('Simulador IR 2025'!$I$29, A777), 0)</f>
        <v>1</v>
      </c>
      <c r="C777">
        <f>IF(B777&gt;0, MAX($C$2:C776)+1, "")</f>
        <v>775</v>
      </c>
      <c r="D777" t="str">
        <f t="shared" si="12"/>
        <v/>
      </c>
    </row>
    <row r="778" spans="1:4">
      <c r="A778" s="42" t="s">
        <v>840</v>
      </c>
      <c r="B778">
        <f>IFERROR(FIND('Simulador IR 2025'!$I$29, A778), 0)</f>
        <v>1</v>
      </c>
      <c r="C778">
        <f>IF(B778&gt;0, MAX($C$2:C777)+1, "")</f>
        <v>776</v>
      </c>
      <c r="D778" t="str">
        <f t="shared" si="12"/>
        <v/>
      </c>
    </row>
    <row r="779" spans="1:4">
      <c r="A779" s="42" t="s">
        <v>841</v>
      </c>
      <c r="B779">
        <f>IFERROR(FIND('Simulador IR 2025'!$I$29, A779), 0)</f>
        <v>1</v>
      </c>
      <c r="C779">
        <f>IF(B779&gt;0, MAX($C$2:C778)+1, "")</f>
        <v>777</v>
      </c>
      <c r="D779" t="str">
        <f t="shared" si="12"/>
        <v/>
      </c>
    </row>
    <row r="780" spans="1:4">
      <c r="A780" s="42" t="s">
        <v>842</v>
      </c>
      <c r="B780">
        <f>IFERROR(FIND('Simulador IR 2025'!$I$29, A780), 0)</f>
        <v>1</v>
      </c>
      <c r="C780">
        <f>IF(B780&gt;0, MAX($C$2:C779)+1, "")</f>
        <v>778</v>
      </c>
      <c r="D780" t="str">
        <f t="shared" si="12"/>
        <v/>
      </c>
    </row>
    <row r="781" spans="1:4">
      <c r="A781" s="42" t="s">
        <v>843</v>
      </c>
      <c r="B781">
        <f>IFERROR(FIND('Simulador IR 2025'!$I$29, A781), 0)</f>
        <v>1</v>
      </c>
      <c r="C781">
        <f>IF(B781&gt;0, MAX($C$2:C780)+1, "")</f>
        <v>779</v>
      </c>
      <c r="D781" t="str">
        <f t="shared" si="12"/>
        <v/>
      </c>
    </row>
    <row r="782" spans="1:4">
      <c r="A782" s="42" t="s">
        <v>844</v>
      </c>
      <c r="B782">
        <f>IFERROR(FIND('Simulador IR 2025'!$I$29, A782), 0)</f>
        <v>1</v>
      </c>
      <c r="C782">
        <f>IF(B782&gt;0, MAX($C$2:C781)+1, "")</f>
        <v>780</v>
      </c>
      <c r="D782" t="str">
        <f t="shared" si="12"/>
        <v/>
      </c>
    </row>
    <row r="783" spans="1:4">
      <c r="A783" s="42" t="s">
        <v>845</v>
      </c>
      <c r="B783">
        <f>IFERROR(FIND('Simulador IR 2025'!$I$29, A783), 0)</f>
        <v>1</v>
      </c>
      <c r="C783">
        <f>IF(B783&gt;0, MAX($C$2:C782)+1, "")</f>
        <v>781</v>
      </c>
      <c r="D783" t="str">
        <f t="shared" si="12"/>
        <v/>
      </c>
    </row>
    <row r="784" spans="1:4">
      <c r="A784" s="42" t="s">
        <v>846</v>
      </c>
      <c r="B784">
        <f>IFERROR(FIND('Simulador IR 2025'!$I$29, A784), 0)</f>
        <v>1</v>
      </c>
      <c r="C784">
        <f>IF(B784&gt;0, MAX($C$2:C783)+1, "")</f>
        <v>782</v>
      </c>
      <c r="D784" t="str">
        <f t="shared" si="12"/>
        <v/>
      </c>
    </row>
    <row r="785" spans="1:4">
      <c r="A785" s="42" t="s">
        <v>847</v>
      </c>
      <c r="B785">
        <f>IFERROR(FIND('Simulador IR 2025'!$I$29, A785), 0)</f>
        <v>1</v>
      </c>
      <c r="C785">
        <f>IF(B785&gt;0, MAX($C$2:C784)+1, "")</f>
        <v>783</v>
      </c>
      <c r="D785" t="str">
        <f t="shared" si="12"/>
        <v/>
      </c>
    </row>
    <row r="786" spans="1:4">
      <c r="A786" s="42" t="s">
        <v>848</v>
      </c>
      <c r="B786">
        <f>IFERROR(FIND('Simulador IR 2025'!$I$29, A786), 0)</f>
        <v>1</v>
      </c>
      <c r="C786">
        <f>IF(B786&gt;0, MAX($C$2:C785)+1, "")</f>
        <v>784</v>
      </c>
      <c r="D786" t="str">
        <f t="shared" si="12"/>
        <v/>
      </c>
    </row>
    <row r="787" spans="1:4">
      <c r="A787" s="42" t="s">
        <v>849</v>
      </c>
      <c r="B787">
        <f>IFERROR(FIND('Simulador IR 2025'!$I$29, A787), 0)</f>
        <v>1</v>
      </c>
      <c r="C787">
        <f>IF(B787&gt;0, MAX($C$2:C786)+1, "")</f>
        <v>785</v>
      </c>
      <c r="D787" t="str">
        <f t="shared" si="12"/>
        <v/>
      </c>
    </row>
    <row r="788" spans="1:4">
      <c r="A788" s="42" t="s">
        <v>850</v>
      </c>
      <c r="B788">
        <f>IFERROR(FIND('Simulador IR 2025'!$I$29, A788), 0)</f>
        <v>1</v>
      </c>
      <c r="C788">
        <f>IF(B788&gt;0, MAX($C$2:C787)+1, "")</f>
        <v>786</v>
      </c>
      <c r="D788" t="str">
        <f t="shared" si="12"/>
        <v/>
      </c>
    </row>
    <row r="789" spans="1:4">
      <c r="A789" s="42" t="s">
        <v>851</v>
      </c>
      <c r="B789">
        <f>IFERROR(FIND('Simulador IR 2025'!$I$29, A789), 0)</f>
        <v>1</v>
      </c>
      <c r="C789">
        <f>IF(B789&gt;0, MAX($C$2:C788)+1, "")</f>
        <v>787</v>
      </c>
      <c r="D789" t="str">
        <f t="shared" si="12"/>
        <v/>
      </c>
    </row>
    <row r="790" spans="1:4">
      <c r="A790" s="42" t="s">
        <v>852</v>
      </c>
      <c r="B790">
        <f>IFERROR(FIND('Simulador IR 2025'!$I$29, A790), 0)</f>
        <v>1</v>
      </c>
      <c r="C790">
        <f>IF(B790&gt;0, MAX($C$2:C789)+1, "")</f>
        <v>788</v>
      </c>
      <c r="D790" t="str">
        <f t="shared" si="12"/>
        <v/>
      </c>
    </row>
    <row r="791" spans="1:4">
      <c r="A791" s="42" t="s">
        <v>853</v>
      </c>
      <c r="B791">
        <f>IFERROR(FIND('Simulador IR 2025'!$I$29, A791), 0)</f>
        <v>1</v>
      </c>
      <c r="C791">
        <f>IF(B791&gt;0, MAX($C$2:C790)+1, "")</f>
        <v>789</v>
      </c>
      <c r="D791" t="str">
        <f t="shared" si="12"/>
        <v/>
      </c>
    </row>
    <row r="792" spans="1:4">
      <c r="A792" s="42" t="s">
        <v>854</v>
      </c>
      <c r="B792">
        <f>IFERROR(FIND('Simulador IR 2025'!$I$29, A792), 0)</f>
        <v>1</v>
      </c>
      <c r="C792">
        <f>IF(B792&gt;0, MAX($C$2:C791)+1, "")</f>
        <v>790</v>
      </c>
      <c r="D792" t="str">
        <f t="shared" si="12"/>
        <v/>
      </c>
    </row>
    <row r="793" spans="1:4">
      <c r="A793" s="42" t="s">
        <v>855</v>
      </c>
      <c r="B793">
        <f>IFERROR(FIND('Simulador IR 2025'!$I$29, A793), 0)</f>
        <v>1</v>
      </c>
      <c r="C793">
        <f>IF(B793&gt;0, MAX($C$2:C792)+1, "")</f>
        <v>791</v>
      </c>
      <c r="D793" t="str">
        <f t="shared" si="12"/>
        <v/>
      </c>
    </row>
    <row r="794" spans="1:4">
      <c r="A794" s="42" t="s">
        <v>856</v>
      </c>
      <c r="B794">
        <f>IFERROR(FIND('Simulador IR 2025'!$I$29, A794), 0)</f>
        <v>1</v>
      </c>
      <c r="C794">
        <f>IF(B794&gt;0, MAX($C$2:C793)+1, "")</f>
        <v>792</v>
      </c>
      <c r="D794" t="str">
        <f t="shared" si="12"/>
        <v/>
      </c>
    </row>
    <row r="795" spans="1:4">
      <c r="A795" s="42" t="s">
        <v>857</v>
      </c>
      <c r="B795">
        <f>IFERROR(FIND('Simulador IR 2025'!$I$29, A795), 0)</f>
        <v>1</v>
      </c>
      <c r="C795">
        <f>IF(B795&gt;0, MAX($C$2:C794)+1, "")</f>
        <v>793</v>
      </c>
      <c r="D795" t="str">
        <f t="shared" si="12"/>
        <v/>
      </c>
    </row>
    <row r="796" spans="1:4">
      <c r="A796" s="42" t="s">
        <v>858</v>
      </c>
      <c r="B796">
        <f>IFERROR(FIND('Simulador IR 2025'!$I$29, A796), 0)</f>
        <v>1</v>
      </c>
      <c r="C796">
        <f>IF(B796&gt;0, MAX($C$2:C795)+1, "")</f>
        <v>794</v>
      </c>
      <c r="D796" t="str">
        <f t="shared" si="12"/>
        <v/>
      </c>
    </row>
    <row r="797" spans="1:4">
      <c r="A797" s="42" t="s">
        <v>859</v>
      </c>
      <c r="B797">
        <f>IFERROR(FIND('Simulador IR 2025'!$I$29, A797), 0)</f>
        <v>1</v>
      </c>
      <c r="C797">
        <f>IF(B797&gt;0, MAX($C$2:C796)+1, "")</f>
        <v>795</v>
      </c>
      <c r="D797" t="str">
        <f t="shared" si="12"/>
        <v/>
      </c>
    </row>
    <row r="798" spans="1:4">
      <c r="A798" s="42" t="s">
        <v>860</v>
      </c>
      <c r="B798">
        <f>IFERROR(FIND('Simulador IR 2025'!$I$29, A798), 0)</f>
        <v>1</v>
      </c>
      <c r="C798">
        <f>IF(B798&gt;0, MAX($C$2:C797)+1, "")</f>
        <v>796</v>
      </c>
      <c r="D798" t="str">
        <f t="shared" si="12"/>
        <v/>
      </c>
    </row>
    <row r="799" spans="1:4">
      <c r="A799" s="42" t="s">
        <v>861</v>
      </c>
      <c r="B799">
        <f>IFERROR(FIND('Simulador IR 2025'!$I$29, A799), 0)</f>
        <v>1</v>
      </c>
      <c r="C799">
        <f>IF(B799&gt;0, MAX($C$2:C798)+1, "")</f>
        <v>797</v>
      </c>
      <c r="D799" t="str">
        <f t="shared" si="12"/>
        <v/>
      </c>
    </row>
    <row r="800" spans="1:4">
      <c r="A800" s="42" t="s">
        <v>862</v>
      </c>
      <c r="B800">
        <f>IFERROR(FIND('Simulador IR 2025'!$I$29, A800), 0)</f>
        <v>1</v>
      </c>
      <c r="C800">
        <f>IF(B800&gt;0, MAX($C$2:C799)+1, "")</f>
        <v>798</v>
      </c>
      <c r="D800" t="str">
        <f t="shared" si="12"/>
        <v/>
      </c>
    </row>
    <row r="801" spans="1:4">
      <c r="A801" s="42" t="s">
        <v>863</v>
      </c>
      <c r="B801">
        <f>IFERROR(FIND('Simulador IR 2025'!$I$29, A801), 0)</f>
        <v>1</v>
      </c>
      <c r="C801">
        <f>IF(B801&gt;0, MAX($C$2:C800)+1, "")</f>
        <v>799</v>
      </c>
      <c r="D801" t="str">
        <f t="shared" si="12"/>
        <v/>
      </c>
    </row>
    <row r="802" spans="1:4">
      <c r="A802" s="42" t="s">
        <v>864</v>
      </c>
      <c r="B802">
        <f>IFERROR(FIND('Simulador IR 2025'!$I$29, A802), 0)</f>
        <v>1</v>
      </c>
      <c r="C802">
        <f>IF(B802&gt;0, MAX($C$2:C801)+1, "")</f>
        <v>800</v>
      </c>
      <c r="D802" t="str">
        <f t="shared" si="12"/>
        <v/>
      </c>
    </row>
    <row r="803" spans="1:4">
      <c r="A803" s="42" t="s">
        <v>865</v>
      </c>
      <c r="B803">
        <f>IFERROR(FIND('Simulador IR 2025'!$I$29, A803), 0)</f>
        <v>1</v>
      </c>
      <c r="C803">
        <f>IF(B803&gt;0, MAX($C$2:C802)+1, "")</f>
        <v>801</v>
      </c>
      <c r="D803" t="str">
        <f t="shared" si="12"/>
        <v/>
      </c>
    </row>
    <row r="804" spans="1:4">
      <c r="A804" s="42" t="s">
        <v>866</v>
      </c>
      <c r="B804">
        <f>IFERROR(FIND('Simulador IR 2025'!$I$29, A804), 0)</f>
        <v>1</v>
      </c>
      <c r="C804">
        <f>IF(B804&gt;0, MAX($C$2:C803)+1, "")</f>
        <v>802</v>
      </c>
      <c r="D804" t="str">
        <f t="shared" si="12"/>
        <v/>
      </c>
    </row>
    <row r="805" spans="1:4">
      <c r="A805" s="42" t="s">
        <v>867</v>
      </c>
      <c r="B805">
        <f>IFERROR(FIND('Simulador IR 2025'!$I$29, A805), 0)</f>
        <v>1</v>
      </c>
      <c r="C805">
        <f>IF(B805&gt;0, MAX($C$2:C804)+1, "")</f>
        <v>803</v>
      </c>
      <c r="D805" t="str">
        <f t="shared" si="12"/>
        <v/>
      </c>
    </row>
    <row r="806" spans="1:4">
      <c r="A806" s="42" t="s">
        <v>868</v>
      </c>
      <c r="B806">
        <f>IFERROR(FIND('Simulador IR 2025'!$I$29, A806), 0)</f>
        <v>1</v>
      </c>
      <c r="C806">
        <f>IF(B806&gt;0, MAX($C$2:C805)+1, "")</f>
        <v>804</v>
      </c>
      <c r="D806" t="str">
        <f t="shared" si="12"/>
        <v/>
      </c>
    </row>
    <row r="807" spans="1:4">
      <c r="A807" s="42" t="s">
        <v>869</v>
      </c>
      <c r="B807">
        <f>IFERROR(FIND('Simulador IR 2025'!$I$29, A807), 0)</f>
        <v>1</v>
      </c>
      <c r="C807">
        <f>IF(B807&gt;0, MAX($C$2:C806)+1, "")</f>
        <v>805</v>
      </c>
      <c r="D807" t="str">
        <f t="shared" si="12"/>
        <v/>
      </c>
    </row>
    <row r="808" spans="1:4">
      <c r="A808" s="42" t="s">
        <v>870</v>
      </c>
      <c r="B808">
        <f>IFERROR(FIND('Simulador IR 2025'!$I$29, A808), 0)</f>
        <v>1</v>
      </c>
      <c r="C808">
        <f>IF(B808&gt;0, MAX($C$2:C807)+1, "")</f>
        <v>806</v>
      </c>
      <c r="D808" t="str">
        <f t="shared" si="12"/>
        <v/>
      </c>
    </row>
    <row r="809" spans="1:4">
      <c r="A809" s="42" t="s">
        <v>871</v>
      </c>
      <c r="B809">
        <f>IFERROR(FIND('Simulador IR 2025'!$I$29, A809), 0)</f>
        <v>1</v>
      </c>
      <c r="C809">
        <f>IF(B809&gt;0, MAX($C$2:C808)+1, "")</f>
        <v>807</v>
      </c>
      <c r="D809" t="str">
        <f t="shared" si="12"/>
        <v/>
      </c>
    </row>
    <row r="810" spans="1:4">
      <c r="A810" s="42" t="s">
        <v>872</v>
      </c>
      <c r="B810">
        <f>IFERROR(FIND('Simulador IR 2025'!$I$29, A810), 0)</f>
        <v>1</v>
      </c>
      <c r="C810">
        <f>IF(B810&gt;0, MAX($C$2:C809)+1, "")</f>
        <v>808</v>
      </c>
      <c r="D810" t="str">
        <f t="shared" si="12"/>
        <v/>
      </c>
    </row>
    <row r="811" spans="1:4">
      <c r="A811" s="42" t="s">
        <v>873</v>
      </c>
      <c r="B811">
        <f>IFERROR(FIND('Simulador IR 2025'!$I$29, A811), 0)</f>
        <v>1</v>
      </c>
      <c r="C811">
        <f>IF(B811&gt;0, MAX($C$2:C810)+1, "")</f>
        <v>809</v>
      </c>
      <c r="D811" t="str">
        <f t="shared" si="12"/>
        <v/>
      </c>
    </row>
    <row r="812" spans="1:4">
      <c r="A812" s="42" t="s">
        <v>874</v>
      </c>
      <c r="B812">
        <f>IFERROR(FIND('Simulador IR 2025'!$I$29, A812), 0)</f>
        <v>1</v>
      </c>
      <c r="C812">
        <f>IF(B812&gt;0, MAX($C$2:C811)+1, "")</f>
        <v>810</v>
      </c>
      <c r="D812" t="str">
        <f t="shared" si="12"/>
        <v/>
      </c>
    </row>
    <row r="813" spans="1:4">
      <c r="A813" s="42" t="s">
        <v>875</v>
      </c>
      <c r="B813">
        <f>IFERROR(FIND('Simulador IR 2025'!$I$29, A813), 0)</f>
        <v>1</v>
      </c>
      <c r="C813">
        <f>IF(B813&gt;0, MAX($C$2:C812)+1, "")</f>
        <v>811</v>
      </c>
      <c r="D813" t="str">
        <f t="shared" si="12"/>
        <v/>
      </c>
    </row>
    <row r="814" spans="1:4">
      <c r="A814" s="42" t="s">
        <v>876</v>
      </c>
      <c r="B814">
        <f>IFERROR(FIND('Simulador IR 2025'!$I$29, A814), 0)</f>
        <v>1</v>
      </c>
      <c r="C814">
        <f>IF(B814&gt;0, MAX($C$2:C813)+1, "")</f>
        <v>812</v>
      </c>
      <c r="D814" t="str">
        <f t="shared" si="12"/>
        <v/>
      </c>
    </row>
    <row r="815" spans="1:4">
      <c r="A815" s="42" t="s">
        <v>877</v>
      </c>
      <c r="B815">
        <f>IFERROR(FIND('Simulador IR 2025'!$I$29, A815), 0)</f>
        <v>1</v>
      </c>
      <c r="C815">
        <f>IF(B815&gt;0, MAX($C$2:C814)+1, "")</f>
        <v>813</v>
      </c>
      <c r="D815" t="str">
        <f t="shared" si="12"/>
        <v/>
      </c>
    </row>
    <row r="816" spans="1:4">
      <c r="A816" s="42" t="s">
        <v>878</v>
      </c>
      <c r="B816">
        <f>IFERROR(FIND('Simulador IR 2025'!$I$29, A816), 0)</f>
        <v>1</v>
      </c>
      <c r="C816">
        <f>IF(B816&gt;0, MAX($C$2:C815)+1, "")</f>
        <v>814</v>
      </c>
      <c r="D816" t="str">
        <f t="shared" si="12"/>
        <v/>
      </c>
    </row>
    <row r="817" spans="1:4">
      <c r="A817" s="42" t="s">
        <v>879</v>
      </c>
      <c r="B817">
        <f>IFERROR(FIND('Simulador IR 2025'!$I$29, A817), 0)</f>
        <v>1</v>
      </c>
      <c r="C817">
        <f>IF(B817&gt;0, MAX($C$2:C816)+1, "")</f>
        <v>815</v>
      </c>
      <c r="D817" t="str">
        <f t="shared" si="12"/>
        <v/>
      </c>
    </row>
    <row r="818" spans="1:4">
      <c r="A818" s="42" t="s">
        <v>880</v>
      </c>
      <c r="B818">
        <f>IFERROR(FIND('Simulador IR 2025'!$I$29, A818), 0)</f>
        <v>1</v>
      </c>
      <c r="C818">
        <f>IF(B818&gt;0, MAX($C$2:C817)+1, "")</f>
        <v>816</v>
      </c>
      <c r="D818" t="str">
        <f t="shared" si="12"/>
        <v/>
      </c>
    </row>
    <row r="819" spans="1:4">
      <c r="A819" s="42" t="s">
        <v>881</v>
      </c>
      <c r="B819">
        <f>IFERROR(FIND('Simulador IR 2025'!$I$29, A819), 0)</f>
        <v>1</v>
      </c>
      <c r="C819">
        <f>IF(B819&gt;0, MAX($C$2:C818)+1, "")</f>
        <v>817</v>
      </c>
      <c r="D819" t="str">
        <f t="shared" si="12"/>
        <v/>
      </c>
    </row>
    <row r="820" spans="1:4">
      <c r="A820" s="42" t="s">
        <v>882</v>
      </c>
      <c r="B820">
        <f>IFERROR(FIND('Simulador IR 2025'!$I$29, A820), 0)</f>
        <v>1</v>
      </c>
      <c r="C820">
        <f>IF(B820&gt;0, MAX($C$2:C819)+1, "")</f>
        <v>818</v>
      </c>
      <c r="D820" t="str">
        <f t="shared" si="12"/>
        <v/>
      </c>
    </row>
    <row r="821" spans="1:4">
      <c r="A821" s="42" t="s">
        <v>883</v>
      </c>
      <c r="B821">
        <f>IFERROR(FIND('Simulador IR 2025'!$I$29, A821), 0)</f>
        <v>1</v>
      </c>
      <c r="C821">
        <f>IF(B821&gt;0, MAX($C$2:C820)+1, "")</f>
        <v>819</v>
      </c>
      <c r="D821" t="str">
        <f t="shared" si="12"/>
        <v/>
      </c>
    </row>
    <row r="822" spans="1:4">
      <c r="A822" s="42" t="s">
        <v>884</v>
      </c>
      <c r="B822">
        <f>IFERROR(FIND('Simulador IR 2025'!$I$29, A822), 0)</f>
        <v>1</v>
      </c>
      <c r="C822">
        <f>IF(B822&gt;0, MAX($C$2:C821)+1, "")</f>
        <v>820</v>
      </c>
      <c r="D822" t="str">
        <f t="shared" si="12"/>
        <v/>
      </c>
    </row>
    <row r="823" spans="1:4">
      <c r="A823" s="42" t="s">
        <v>885</v>
      </c>
      <c r="B823">
        <f>IFERROR(FIND('Simulador IR 2025'!$I$29, A823), 0)</f>
        <v>1</v>
      </c>
      <c r="C823">
        <f>IF(B823&gt;0, MAX($C$2:C822)+1, "")</f>
        <v>821</v>
      </c>
      <c r="D823" t="str">
        <f t="shared" si="12"/>
        <v/>
      </c>
    </row>
    <row r="824" spans="1:4">
      <c r="A824" s="42" t="s">
        <v>886</v>
      </c>
      <c r="B824">
        <f>IFERROR(FIND('Simulador IR 2025'!$I$29, A824), 0)</f>
        <v>1</v>
      </c>
      <c r="C824">
        <f>IF(B824&gt;0, MAX($C$2:C823)+1, "")</f>
        <v>822</v>
      </c>
      <c r="D824" t="str">
        <f t="shared" si="12"/>
        <v/>
      </c>
    </row>
    <row r="825" spans="1:4">
      <c r="A825" s="42" t="s">
        <v>887</v>
      </c>
      <c r="B825">
        <f>IFERROR(FIND('Simulador IR 2025'!$I$29, A825), 0)</f>
        <v>1</v>
      </c>
      <c r="C825">
        <f>IF(B825&gt;0, MAX($C$2:C824)+1, "")</f>
        <v>823</v>
      </c>
      <c r="D825" t="str">
        <f t="shared" si="12"/>
        <v/>
      </c>
    </row>
    <row r="826" spans="1:4">
      <c r="A826" s="42" t="s">
        <v>888</v>
      </c>
      <c r="B826">
        <f>IFERROR(FIND('Simulador IR 2025'!$I$29, A826), 0)</f>
        <v>1</v>
      </c>
      <c r="C826">
        <f>IF(B826&gt;0, MAX($C$2:C825)+1, "")</f>
        <v>824</v>
      </c>
      <c r="D826" t="str">
        <f t="shared" si="12"/>
        <v/>
      </c>
    </row>
    <row r="827" spans="1:4">
      <c r="A827" s="42" t="s">
        <v>889</v>
      </c>
      <c r="B827">
        <f>IFERROR(FIND('Simulador IR 2025'!$I$29, A827), 0)</f>
        <v>1</v>
      </c>
      <c r="C827">
        <f>IF(B827&gt;0, MAX($C$2:C826)+1, "")</f>
        <v>825</v>
      </c>
      <c r="D827" t="str">
        <f t="shared" si="12"/>
        <v/>
      </c>
    </row>
    <row r="828" spans="1:4">
      <c r="A828" s="42" t="s">
        <v>890</v>
      </c>
      <c r="B828">
        <f>IFERROR(FIND('Simulador IR 2025'!$I$29, A828), 0)</f>
        <v>1</v>
      </c>
      <c r="C828">
        <f>IF(B828&gt;0, MAX($C$2:C827)+1, "")</f>
        <v>826</v>
      </c>
      <c r="D828" t="str">
        <f t="shared" si="12"/>
        <v/>
      </c>
    </row>
    <row r="829" spans="1:4">
      <c r="A829" s="42" t="s">
        <v>891</v>
      </c>
      <c r="B829">
        <f>IFERROR(FIND('Simulador IR 2025'!$I$29, A829), 0)</f>
        <v>1</v>
      </c>
      <c r="C829">
        <f>IF(B829&gt;0, MAX($C$2:C828)+1, "")</f>
        <v>827</v>
      </c>
      <c r="D829" t="str">
        <f t="shared" si="12"/>
        <v/>
      </c>
    </row>
    <row r="830" spans="1:4">
      <c r="A830" s="42" t="s">
        <v>892</v>
      </c>
      <c r="B830">
        <f>IFERROR(FIND('Simulador IR 2025'!$I$29, A830), 0)</f>
        <v>1</v>
      </c>
      <c r="C830">
        <f>IF(B830&gt;0, MAX($C$2:C829)+1, "")</f>
        <v>828</v>
      </c>
      <c r="D830" t="str">
        <f t="shared" si="12"/>
        <v/>
      </c>
    </row>
    <row r="831" spans="1:4">
      <c r="A831" s="42" t="s">
        <v>893</v>
      </c>
      <c r="B831">
        <f>IFERROR(FIND('Simulador IR 2025'!$I$29, A831), 0)</f>
        <v>1</v>
      </c>
      <c r="C831">
        <f>IF(B831&gt;0, MAX($C$2:C830)+1, "")</f>
        <v>829</v>
      </c>
      <c r="D831" t="str">
        <f t="shared" si="12"/>
        <v/>
      </c>
    </row>
    <row r="832" spans="1:4">
      <c r="A832" s="42" t="s">
        <v>894</v>
      </c>
      <c r="B832">
        <f>IFERROR(FIND('Simulador IR 2025'!$I$29, A832), 0)</f>
        <v>1</v>
      </c>
      <c r="C832">
        <f>IF(B832&gt;0, MAX($C$2:C831)+1, "")</f>
        <v>830</v>
      </c>
      <c r="D832" t="str">
        <f t="shared" si="12"/>
        <v/>
      </c>
    </row>
    <row r="833" spans="1:4">
      <c r="A833" s="42" t="s">
        <v>895</v>
      </c>
      <c r="B833">
        <f>IFERROR(FIND('Simulador IR 2025'!$I$29, A833), 0)</f>
        <v>1</v>
      </c>
      <c r="C833">
        <f>IF(B833&gt;0, MAX($C$2:C832)+1, "")</f>
        <v>831</v>
      </c>
      <c r="D833" t="str">
        <f t="shared" si="12"/>
        <v/>
      </c>
    </row>
    <row r="834" spans="1:4">
      <c r="A834" s="42" t="s">
        <v>896</v>
      </c>
      <c r="B834">
        <f>IFERROR(FIND('Simulador IR 2025'!$I$29, A834), 0)</f>
        <v>1</v>
      </c>
      <c r="C834">
        <f>IF(B834&gt;0, MAX($C$2:C833)+1, "")</f>
        <v>832</v>
      </c>
      <c r="D834" t="str">
        <f t="shared" si="12"/>
        <v/>
      </c>
    </row>
    <row r="835" spans="1:4">
      <c r="A835" s="42" t="s">
        <v>897</v>
      </c>
      <c r="B835">
        <f>IFERROR(FIND('Simulador IR 2025'!$I$29, A835), 0)</f>
        <v>1</v>
      </c>
      <c r="C835">
        <f>IF(B835&gt;0, MAX($C$2:C834)+1, "")</f>
        <v>833</v>
      </c>
      <c r="D835" t="str">
        <f t="shared" si="12"/>
        <v/>
      </c>
    </row>
    <row r="836" spans="1:4">
      <c r="A836" s="42" t="s">
        <v>898</v>
      </c>
      <c r="B836">
        <f>IFERROR(FIND('Simulador IR 2025'!$I$29, A836), 0)</f>
        <v>1</v>
      </c>
      <c r="C836">
        <f>IF(B836&gt;0, MAX($C$2:C835)+1, "")</f>
        <v>834</v>
      </c>
      <c r="D836" t="str">
        <f t="shared" ref="D836:D899" si="13">IFERROR(VLOOKUP(ROW(A834), $A$3:$C$2681, -2, FALSE), "")</f>
        <v/>
      </c>
    </row>
    <row r="837" spans="1:4">
      <c r="A837" s="42" t="s">
        <v>899</v>
      </c>
      <c r="B837">
        <f>IFERROR(FIND('Simulador IR 2025'!$I$29, A837), 0)</f>
        <v>1</v>
      </c>
      <c r="C837">
        <f>IF(B837&gt;0, MAX($C$2:C836)+1, "")</f>
        <v>835</v>
      </c>
      <c r="D837" t="str">
        <f t="shared" si="13"/>
        <v/>
      </c>
    </row>
    <row r="838" spans="1:4">
      <c r="A838" s="42" t="s">
        <v>900</v>
      </c>
      <c r="B838">
        <f>IFERROR(FIND('Simulador IR 2025'!$I$29, A838), 0)</f>
        <v>1</v>
      </c>
      <c r="C838">
        <f>IF(B838&gt;0, MAX($C$2:C837)+1, "")</f>
        <v>836</v>
      </c>
      <c r="D838" t="str">
        <f t="shared" si="13"/>
        <v/>
      </c>
    </row>
    <row r="839" spans="1:4">
      <c r="A839" s="42" t="s">
        <v>901</v>
      </c>
      <c r="B839">
        <f>IFERROR(FIND('Simulador IR 2025'!$I$29, A839), 0)</f>
        <v>1</v>
      </c>
      <c r="C839">
        <f>IF(B839&gt;0, MAX($C$2:C838)+1, "")</f>
        <v>837</v>
      </c>
      <c r="D839" t="str">
        <f t="shared" si="13"/>
        <v/>
      </c>
    </row>
    <row r="840" spans="1:4">
      <c r="A840" s="42" t="s">
        <v>902</v>
      </c>
      <c r="B840">
        <f>IFERROR(FIND('Simulador IR 2025'!$I$29, A840), 0)</f>
        <v>1</v>
      </c>
      <c r="C840">
        <f>IF(B840&gt;0, MAX($C$2:C839)+1, "")</f>
        <v>838</v>
      </c>
      <c r="D840" t="str">
        <f t="shared" si="13"/>
        <v/>
      </c>
    </row>
    <row r="841" spans="1:4">
      <c r="A841" s="42" t="s">
        <v>903</v>
      </c>
      <c r="B841">
        <f>IFERROR(FIND('Simulador IR 2025'!$I$29, A841), 0)</f>
        <v>1</v>
      </c>
      <c r="C841">
        <f>IF(B841&gt;0, MAX($C$2:C840)+1, "")</f>
        <v>839</v>
      </c>
      <c r="D841" t="str">
        <f t="shared" si="13"/>
        <v/>
      </c>
    </row>
    <row r="842" spans="1:4">
      <c r="A842" s="42" t="s">
        <v>904</v>
      </c>
      <c r="B842">
        <f>IFERROR(FIND('Simulador IR 2025'!$I$29, A842), 0)</f>
        <v>1</v>
      </c>
      <c r="C842">
        <f>IF(B842&gt;0, MAX($C$2:C841)+1, "")</f>
        <v>840</v>
      </c>
      <c r="D842" t="str">
        <f t="shared" si="13"/>
        <v/>
      </c>
    </row>
    <row r="843" spans="1:4">
      <c r="A843" s="42" t="s">
        <v>905</v>
      </c>
      <c r="B843">
        <f>IFERROR(FIND('Simulador IR 2025'!$I$29, A843), 0)</f>
        <v>1</v>
      </c>
      <c r="C843">
        <f>IF(B843&gt;0, MAX($C$2:C842)+1, "")</f>
        <v>841</v>
      </c>
      <c r="D843" t="str">
        <f t="shared" si="13"/>
        <v/>
      </c>
    </row>
    <row r="844" spans="1:4">
      <c r="A844" s="42" t="s">
        <v>906</v>
      </c>
      <c r="B844">
        <f>IFERROR(FIND('Simulador IR 2025'!$I$29, A844), 0)</f>
        <v>1</v>
      </c>
      <c r="C844">
        <f>IF(B844&gt;0, MAX($C$2:C843)+1, "")</f>
        <v>842</v>
      </c>
      <c r="D844" t="str">
        <f t="shared" si="13"/>
        <v/>
      </c>
    </row>
    <row r="845" spans="1:4">
      <c r="A845" s="42" t="s">
        <v>907</v>
      </c>
      <c r="B845">
        <f>IFERROR(FIND('Simulador IR 2025'!$I$29, A845), 0)</f>
        <v>1</v>
      </c>
      <c r="C845">
        <f>IF(B845&gt;0, MAX($C$2:C844)+1, "")</f>
        <v>843</v>
      </c>
      <c r="D845" t="str">
        <f t="shared" si="13"/>
        <v/>
      </c>
    </row>
    <row r="846" spans="1:4">
      <c r="A846" s="42" t="s">
        <v>908</v>
      </c>
      <c r="B846">
        <f>IFERROR(FIND('Simulador IR 2025'!$I$29, A846), 0)</f>
        <v>1</v>
      </c>
      <c r="C846">
        <f>IF(B846&gt;0, MAX($C$2:C845)+1, "")</f>
        <v>844</v>
      </c>
      <c r="D846" t="str">
        <f t="shared" si="13"/>
        <v/>
      </c>
    </row>
    <row r="847" spans="1:4">
      <c r="A847" s="42" t="s">
        <v>909</v>
      </c>
      <c r="B847">
        <f>IFERROR(FIND('Simulador IR 2025'!$I$29, A847), 0)</f>
        <v>1</v>
      </c>
      <c r="C847">
        <f>IF(B847&gt;0, MAX($C$2:C846)+1, "")</f>
        <v>845</v>
      </c>
      <c r="D847" t="str">
        <f t="shared" si="13"/>
        <v/>
      </c>
    </row>
    <row r="848" spans="1:4">
      <c r="A848" s="42" t="s">
        <v>910</v>
      </c>
      <c r="B848">
        <f>IFERROR(FIND('Simulador IR 2025'!$I$29, A848), 0)</f>
        <v>1</v>
      </c>
      <c r="C848">
        <f>IF(B848&gt;0, MAX($C$2:C847)+1, "")</f>
        <v>846</v>
      </c>
      <c r="D848" t="str">
        <f t="shared" si="13"/>
        <v/>
      </c>
    </row>
    <row r="849" spans="1:4">
      <c r="A849" s="42" t="s">
        <v>911</v>
      </c>
      <c r="B849">
        <f>IFERROR(FIND('Simulador IR 2025'!$I$29, A849), 0)</f>
        <v>1</v>
      </c>
      <c r="C849">
        <f>IF(B849&gt;0, MAX($C$2:C848)+1, "")</f>
        <v>847</v>
      </c>
      <c r="D849" t="str">
        <f t="shared" si="13"/>
        <v/>
      </c>
    </row>
    <row r="850" spans="1:4">
      <c r="A850" s="42" t="s">
        <v>912</v>
      </c>
      <c r="B850">
        <f>IFERROR(FIND('Simulador IR 2025'!$I$29, A850), 0)</f>
        <v>1</v>
      </c>
      <c r="C850">
        <f>IF(B850&gt;0, MAX($C$2:C849)+1, "")</f>
        <v>848</v>
      </c>
      <c r="D850" t="str">
        <f t="shared" si="13"/>
        <v/>
      </c>
    </row>
    <row r="851" spans="1:4">
      <c r="A851" s="42" t="s">
        <v>913</v>
      </c>
      <c r="B851">
        <f>IFERROR(FIND('Simulador IR 2025'!$I$29, A851), 0)</f>
        <v>1</v>
      </c>
      <c r="C851">
        <f>IF(B851&gt;0, MAX($C$2:C850)+1, "")</f>
        <v>849</v>
      </c>
      <c r="D851" t="str">
        <f t="shared" si="13"/>
        <v/>
      </c>
    </row>
    <row r="852" spans="1:4">
      <c r="A852" s="42" t="s">
        <v>914</v>
      </c>
      <c r="B852">
        <f>IFERROR(FIND('Simulador IR 2025'!$I$29, A852), 0)</f>
        <v>1</v>
      </c>
      <c r="C852">
        <f>IF(B852&gt;0, MAX($C$2:C851)+1, "")</f>
        <v>850</v>
      </c>
      <c r="D852" t="str">
        <f t="shared" si="13"/>
        <v/>
      </c>
    </row>
    <row r="853" spans="1:4">
      <c r="A853" s="42" t="s">
        <v>915</v>
      </c>
      <c r="B853">
        <f>IFERROR(FIND('Simulador IR 2025'!$I$29, A853), 0)</f>
        <v>1</v>
      </c>
      <c r="C853">
        <f>IF(B853&gt;0, MAX($C$2:C852)+1, "")</f>
        <v>851</v>
      </c>
      <c r="D853" t="str">
        <f t="shared" si="13"/>
        <v/>
      </c>
    </row>
    <row r="854" spans="1:4">
      <c r="A854" s="42" t="s">
        <v>916</v>
      </c>
      <c r="B854">
        <f>IFERROR(FIND('Simulador IR 2025'!$I$29, A854), 0)</f>
        <v>1</v>
      </c>
      <c r="C854">
        <f>IF(B854&gt;0, MAX($C$2:C853)+1, "")</f>
        <v>852</v>
      </c>
      <c r="D854" t="str">
        <f t="shared" si="13"/>
        <v/>
      </c>
    </row>
    <row r="855" spans="1:4">
      <c r="A855" s="42" t="s">
        <v>917</v>
      </c>
      <c r="B855">
        <f>IFERROR(FIND('Simulador IR 2025'!$I$29, A855), 0)</f>
        <v>1</v>
      </c>
      <c r="C855">
        <f>IF(B855&gt;0, MAX($C$2:C854)+1, "")</f>
        <v>853</v>
      </c>
      <c r="D855" t="str">
        <f t="shared" si="13"/>
        <v/>
      </c>
    </row>
    <row r="856" spans="1:4">
      <c r="A856" s="42" t="s">
        <v>918</v>
      </c>
      <c r="B856">
        <f>IFERROR(FIND('Simulador IR 2025'!$I$29, A856), 0)</f>
        <v>1</v>
      </c>
      <c r="C856">
        <f>IF(B856&gt;0, MAX($C$2:C855)+1, "")</f>
        <v>854</v>
      </c>
      <c r="D856" t="str">
        <f t="shared" si="13"/>
        <v/>
      </c>
    </row>
    <row r="857" spans="1:4">
      <c r="A857" s="42" t="s">
        <v>919</v>
      </c>
      <c r="B857">
        <f>IFERROR(FIND('Simulador IR 2025'!$I$29, A857), 0)</f>
        <v>1</v>
      </c>
      <c r="C857">
        <f>IF(B857&gt;0, MAX($C$2:C856)+1, "")</f>
        <v>855</v>
      </c>
      <c r="D857" t="str">
        <f t="shared" si="13"/>
        <v/>
      </c>
    </row>
    <row r="858" spans="1:4">
      <c r="A858" s="42" t="s">
        <v>920</v>
      </c>
      <c r="B858">
        <f>IFERROR(FIND('Simulador IR 2025'!$I$29, A858), 0)</f>
        <v>1</v>
      </c>
      <c r="C858">
        <f>IF(B858&gt;0, MAX($C$2:C857)+1, "")</f>
        <v>856</v>
      </c>
      <c r="D858" t="str">
        <f t="shared" si="13"/>
        <v/>
      </c>
    </row>
    <row r="859" spans="1:4">
      <c r="A859" s="42" t="s">
        <v>921</v>
      </c>
      <c r="B859">
        <f>IFERROR(FIND('Simulador IR 2025'!$I$29, A859), 0)</f>
        <v>1</v>
      </c>
      <c r="C859">
        <f>IF(B859&gt;0, MAX($C$2:C858)+1, "")</f>
        <v>857</v>
      </c>
      <c r="D859" t="str">
        <f t="shared" si="13"/>
        <v/>
      </c>
    </row>
    <row r="860" spans="1:4">
      <c r="A860" s="42" t="s">
        <v>922</v>
      </c>
      <c r="B860">
        <f>IFERROR(FIND('Simulador IR 2025'!$I$29, A860), 0)</f>
        <v>1</v>
      </c>
      <c r="C860">
        <f>IF(B860&gt;0, MAX($C$2:C859)+1, "")</f>
        <v>858</v>
      </c>
      <c r="D860" t="str">
        <f t="shared" si="13"/>
        <v/>
      </c>
    </row>
    <row r="861" spans="1:4">
      <c r="A861" s="42" t="s">
        <v>923</v>
      </c>
      <c r="B861">
        <f>IFERROR(FIND('Simulador IR 2025'!$I$29, A861), 0)</f>
        <v>1</v>
      </c>
      <c r="C861">
        <f>IF(B861&gt;0, MAX($C$2:C860)+1, "")</f>
        <v>859</v>
      </c>
      <c r="D861" t="str">
        <f t="shared" si="13"/>
        <v/>
      </c>
    </row>
    <row r="862" spans="1:4">
      <c r="A862" s="42" t="s">
        <v>924</v>
      </c>
      <c r="B862">
        <f>IFERROR(FIND('Simulador IR 2025'!$I$29, A862), 0)</f>
        <v>1</v>
      </c>
      <c r="C862">
        <f>IF(B862&gt;0, MAX($C$2:C861)+1, "")</f>
        <v>860</v>
      </c>
      <c r="D862" t="str">
        <f t="shared" si="13"/>
        <v/>
      </c>
    </row>
    <row r="863" spans="1:4">
      <c r="A863" s="42" t="s">
        <v>925</v>
      </c>
      <c r="B863">
        <f>IFERROR(FIND('Simulador IR 2025'!$I$29, A863), 0)</f>
        <v>1</v>
      </c>
      <c r="C863">
        <f>IF(B863&gt;0, MAX($C$2:C862)+1, "")</f>
        <v>861</v>
      </c>
      <c r="D863" t="str">
        <f t="shared" si="13"/>
        <v/>
      </c>
    </row>
    <row r="864" spans="1:4">
      <c r="A864" s="42" t="s">
        <v>926</v>
      </c>
      <c r="B864">
        <f>IFERROR(FIND('Simulador IR 2025'!$I$29, A864), 0)</f>
        <v>1</v>
      </c>
      <c r="C864">
        <f>IF(B864&gt;0, MAX($C$2:C863)+1, "")</f>
        <v>862</v>
      </c>
      <c r="D864" t="str">
        <f t="shared" si="13"/>
        <v/>
      </c>
    </row>
    <row r="865" spans="1:4">
      <c r="A865" s="42" t="s">
        <v>927</v>
      </c>
      <c r="B865">
        <f>IFERROR(FIND('Simulador IR 2025'!$I$29, A865), 0)</f>
        <v>1</v>
      </c>
      <c r="C865">
        <f>IF(B865&gt;0, MAX($C$2:C864)+1, "")</f>
        <v>863</v>
      </c>
      <c r="D865" t="str">
        <f t="shared" si="13"/>
        <v/>
      </c>
    </row>
    <row r="866" spans="1:4">
      <c r="A866" s="42" t="s">
        <v>928</v>
      </c>
      <c r="B866">
        <f>IFERROR(FIND('Simulador IR 2025'!$I$29, A866), 0)</f>
        <v>1</v>
      </c>
      <c r="C866">
        <f>IF(B866&gt;0, MAX($C$2:C865)+1, "")</f>
        <v>864</v>
      </c>
      <c r="D866" t="str">
        <f t="shared" si="13"/>
        <v/>
      </c>
    </row>
    <row r="867" spans="1:4">
      <c r="A867" s="42" t="s">
        <v>929</v>
      </c>
      <c r="B867">
        <f>IFERROR(FIND('Simulador IR 2025'!$I$29, A867), 0)</f>
        <v>1</v>
      </c>
      <c r="C867">
        <f>IF(B867&gt;0, MAX($C$2:C866)+1, "")</f>
        <v>865</v>
      </c>
      <c r="D867" t="str">
        <f t="shared" si="13"/>
        <v/>
      </c>
    </row>
    <row r="868" spans="1:4">
      <c r="A868" s="42" t="s">
        <v>930</v>
      </c>
      <c r="B868">
        <f>IFERROR(FIND('Simulador IR 2025'!$I$29, A868), 0)</f>
        <v>1</v>
      </c>
      <c r="C868">
        <f>IF(B868&gt;0, MAX($C$2:C867)+1, "")</f>
        <v>866</v>
      </c>
      <c r="D868" t="str">
        <f t="shared" si="13"/>
        <v/>
      </c>
    </row>
    <row r="869" spans="1:4">
      <c r="A869" s="42" t="s">
        <v>931</v>
      </c>
      <c r="B869">
        <f>IFERROR(FIND('Simulador IR 2025'!$I$29, A869), 0)</f>
        <v>1</v>
      </c>
      <c r="C869">
        <f>IF(B869&gt;0, MAX($C$2:C868)+1, "")</f>
        <v>867</v>
      </c>
      <c r="D869" t="str">
        <f t="shared" si="13"/>
        <v/>
      </c>
    </row>
    <row r="870" spans="1:4">
      <c r="A870" s="42" t="s">
        <v>932</v>
      </c>
      <c r="B870">
        <f>IFERROR(FIND('Simulador IR 2025'!$I$29, A870), 0)</f>
        <v>1</v>
      </c>
      <c r="C870">
        <f>IF(B870&gt;0, MAX($C$2:C869)+1, "")</f>
        <v>868</v>
      </c>
      <c r="D870" t="str">
        <f t="shared" si="13"/>
        <v/>
      </c>
    </row>
    <row r="871" spans="1:4">
      <c r="A871" s="42" t="s">
        <v>933</v>
      </c>
      <c r="B871">
        <f>IFERROR(FIND('Simulador IR 2025'!$I$29, A871), 0)</f>
        <v>1</v>
      </c>
      <c r="C871">
        <f>IF(B871&gt;0, MAX($C$2:C870)+1, "")</f>
        <v>869</v>
      </c>
      <c r="D871" t="str">
        <f t="shared" si="13"/>
        <v/>
      </c>
    </row>
    <row r="872" spans="1:4">
      <c r="A872" s="42" t="s">
        <v>934</v>
      </c>
      <c r="B872">
        <f>IFERROR(FIND('Simulador IR 2025'!$I$29, A872), 0)</f>
        <v>1</v>
      </c>
      <c r="C872">
        <f>IF(B872&gt;0, MAX($C$2:C871)+1, "")</f>
        <v>870</v>
      </c>
      <c r="D872" t="str">
        <f t="shared" si="13"/>
        <v/>
      </c>
    </row>
    <row r="873" spans="1:4">
      <c r="A873" s="42" t="s">
        <v>935</v>
      </c>
      <c r="B873">
        <f>IFERROR(FIND('Simulador IR 2025'!$I$29, A873), 0)</f>
        <v>1</v>
      </c>
      <c r="C873">
        <f>IF(B873&gt;0, MAX($C$2:C872)+1, "")</f>
        <v>871</v>
      </c>
      <c r="D873" t="str">
        <f t="shared" si="13"/>
        <v/>
      </c>
    </row>
    <row r="874" spans="1:4">
      <c r="A874" s="42" t="s">
        <v>936</v>
      </c>
      <c r="B874">
        <f>IFERROR(FIND('Simulador IR 2025'!$I$29, A874), 0)</f>
        <v>1</v>
      </c>
      <c r="C874">
        <f>IF(B874&gt;0, MAX($C$2:C873)+1, "")</f>
        <v>872</v>
      </c>
      <c r="D874" t="str">
        <f t="shared" si="13"/>
        <v/>
      </c>
    </row>
    <row r="875" spans="1:4">
      <c r="A875" s="42" t="s">
        <v>937</v>
      </c>
      <c r="B875">
        <f>IFERROR(FIND('Simulador IR 2025'!$I$29, A875), 0)</f>
        <v>1</v>
      </c>
      <c r="C875">
        <f>IF(B875&gt;0, MAX($C$2:C874)+1, "")</f>
        <v>873</v>
      </c>
      <c r="D875" t="str">
        <f t="shared" si="13"/>
        <v/>
      </c>
    </row>
    <row r="876" spans="1:4">
      <c r="A876" s="42" t="s">
        <v>938</v>
      </c>
      <c r="B876">
        <f>IFERROR(FIND('Simulador IR 2025'!$I$29, A876), 0)</f>
        <v>1</v>
      </c>
      <c r="C876">
        <f>IF(B876&gt;0, MAX($C$2:C875)+1, "")</f>
        <v>874</v>
      </c>
      <c r="D876" t="str">
        <f t="shared" si="13"/>
        <v/>
      </c>
    </row>
    <row r="877" spans="1:4">
      <c r="A877" s="42" t="s">
        <v>939</v>
      </c>
      <c r="B877">
        <f>IFERROR(FIND('Simulador IR 2025'!$I$29, A877), 0)</f>
        <v>1</v>
      </c>
      <c r="C877">
        <f>IF(B877&gt;0, MAX($C$2:C876)+1, "")</f>
        <v>875</v>
      </c>
      <c r="D877" t="str">
        <f t="shared" si="13"/>
        <v/>
      </c>
    </row>
    <row r="878" spans="1:4">
      <c r="A878" s="42" t="s">
        <v>940</v>
      </c>
      <c r="B878">
        <f>IFERROR(FIND('Simulador IR 2025'!$I$29, A878), 0)</f>
        <v>1</v>
      </c>
      <c r="C878">
        <f>IF(B878&gt;0, MAX($C$2:C877)+1, "")</f>
        <v>876</v>
      </c>
      <c r="D878" t="str">
        <f t="shared" si="13"/>
        <v/>
      </c>
    </row>
    <row r="879" spans="1:4">
      <c r="A879" s="42" t="s">
        <v>941</v>
      </c>
      <c r="B879">
        <f>IFERROR(FIND('Simulador IR 2025'!$I$29, A879), 0)</f>
        <v>1</v>
      </c>
      <c r="C879">
        <f>IF(B879&gt;0, MAX($C$2:C878)+1, "")</f>
        <v>877</v>
      </c>
      <c r="D879" t="str">
        <f t="shared" si="13"/>
        <v/>
      </c>
    </row>
    <row r="880" spans="1:4">
      <c r="A880" s="42" t="s">
        <v>942</v>
      </c>
      <c r="B880">
        <f>IFERROR(FIND('Simulador IR 2025'!$I$29, A880), 0)</f>
        <v>1</v>
      </c>
      <c r="C880">
        <f>IF(B880&gt;0, MAX($C$2:C879)+1, "")</f>
        <v>878</v>
      </c>
      <c r="D880" t="str">
        <f t="shared" si="13"/>
        <v/>
      </c>
    </row>
    <row r="881" spans="1:4">
      <c r="A881" s="42" t="s">
        <v>943</v>
      </c>
      <c r="B881">
        <f>IFERROR(FIND('Simulador IR 2025'!$I$29, A881), 0)</f>
        <v>1</v>
      </c>
      <c r="C881">
        <f>IF(B881&gt;0, MAX($C$2:C880)+1, "")</f>
        <v>879</v>
      </c>
      <c r="D881" t="str">
        <f t="shared" si="13"/>
        <v/>
      </c>
    </row>
    <row r="882" spans="1:4">
      <c r="A882" s="42" t="s">
        <v>944</v>
      </c>
      <c r="B882">
        <f>IFERROR(FIND('Simulador IR 2025'!$I$29, A882), 0)</f>
        <v>1</v>
      </c>
      <c r="C882">
        <f>IF(B882&gt;0, MAX($C$2:C881)+1, "")</f>
        <v>880</v>
      </c>
      <c r="D882" t="str">
        <f t="shared" si="13"/>
        <v/>
      </c>
    </row>
    <row r="883" spans="1:4">
      <c r="A883" s="42" t="s">
        <v>945</v>
      </c>
      <c r="B883">
        <f>IFERROR(FIND('Simulador IR 2025'!$I$29, A883), 0)</f>
        <v>1</v>
      </c>
      <c r="C883">
        <f>IF(B883&gt;0, MAX($C$2:C882)+1, "")</f>
        <v>881</v>
      </c>
      <c r="D883" t="str">
        <f t="shared" si="13"/>
        <v/>
      </c>
    </row>
    <row r="884" spans="1:4">
      <c r="A884" s="42" t="s">
        <v>946</v>
      </c>
      <c r="B884">
        <f>IFERROR(FIND('Simulador IR 2025'!$I$29, A884), 0)</f>
        <v>1</v>
      </c>
      <c r="C884">
        <f>IF(B884&gt;0, MAX($C$2:C883)+1, "")</f>
        <v>882</v>
      </c>
      <c r="D884" t="str">
        <f t="shared" si="13"/>
        <v/>
      </c>
    </row>
    <row r="885" spans="1:4">
      <c r="A885" s="42" t="s">
        <v>947</v>
      </c>
      <c r="B885">
        <f>IFERROR(FIND('Simulador IR 2025'!$I$29, A885), 0)</f>
        <v>1</v>
      </c>
      <c r="C885">
        <f>IF(B885&gt;0, MAX($C$2:C884)+1, "")</f>
        <v>883</v>
      </c>
      <c r="D885" t="str">
        <f t="shared" si="13"/>
        <v/>
      </c>
    </row>
    <row r="886" spans="1:4">
      <c r="A886" s="42" t="s">
        <v>948</v>
      </c>
      <c r="B886">
        <f>IFERROR(FIND('Simulador IR 2025'!$I$29, A886), 0)</f>
        <v>1</v>
      </c>
      <c r="C886">
        <f>IF(B886&gt;0, MAX($C$2:C885)+1, "")</f>
        <v>884</v>
      </c>
      <c r="D886" t="str">
        <f t="shared" si="13"/>
        <v/>
      </c>
    </row>
    <row r="887" spans="1:4">
      <c r="A887" s="42" t="s">
        <v>949</v>
      </c>
      <c r="B887">
        <f>IFERROR(FIND('Simulador IR 2025'!$I$29, A887), 0)</f>
        <v>1</v>
      </c>
      <c r="C887">
        <f>IF(B887&gt;0, MAX($C$2:C886)+1, "")</f>
        <v>885</v>
      </c>
      <c r="D887" t="str">
        <f t="shared" si="13"/>
        <v/>
      </c>
    </row>
    <row r="888" spans="1:4">
      <c r="A888" s="42" t="s">
        <v>950</v>
      </c>
      <c r="B888">
        <f>IFERROR(FIND('Simulador IR 2025'!$I$29, A888), 0)</f>
        <v>1</v>
      </c>
      <c r="C888">
        <f>IF(B888&gt;0, MAX($C$2:C887)+1, "")</f>
        <v>886</v>
      </c>
      <c r="D888" t="str">
        <f t="shared" si="13"/>
        <v/>
      </c>
    </row>
    <row r="889" spans="1:4">
      <c r="A889" s="42" t="s">
        <v>951</v>
      </c>
      <c r="B889">
        <f>IFERROR(FIND('Simulador IR 2025'!$I$29, A889), 0)</f>
        <v>1</v>
      </c>
      <c r="C889">
        <f>IF(B889&gt;0, MAX($C$2:C888)+1, "")</f>
        <v>887</v>
      </c>
      <c r="D889" t="str">
        <f t="shared" si="13"/>
        <v/>
      </c>
    </row>
    <row r="890" spans="1:4">
      <c r="A890" s="42" t="s">
        <v>952</v>
      </c>
      <c r="B890">
        <f>IFERROR(FIND('Simulador IR 2025'!$I$29, A890), 0)</f>
        <v>1</v>
      </c>
      <c r="C890">
        <f>IF(B890&gt;0, MAX($C$2:C889)+1, "")</f>
        <v>888</v>
      </c>
      <c r="D890" t="str">
        <f t="shared" si="13"/>
        <v/>
      </c>
    </row>
    <row r="891" spans="1:4">
      <c r="A891" s="42" t="s">
        <v>953</v>
      </c>
      <c r="B891">
        <f>IFERROR(FIND('Simulador IR 2025'!$I$29, A891), 0)</f>
        <v>1</v>
      </c>
      <c r="C891">
        <f>IF(B891&gt;0, MAX($C$2:C890)+1, "")</f>
        <v>889</v>
      </c>
      <c r="D891" t="str">
        <f t="shared" si="13"/>
        <v/>
      </c>
    </row>
    <row r="892" spans="1:4">
      <c r="A892" s="42" t="s">
        <v>954</v>
      </c>
      <c r="B892">
        <f>IFERROR(FIND('Simulador IR 2025'!$I$29, A892), 0)</f>
        <v>1</v>
      </c>
      <c r="C892">
        <f>IF(B892&gt;0, MAX($C$2:C891)+1, "")</f>
        <v>890</v>
      </c>
      <c r="D892" t="str">
        <f t="shared" si="13"/>
        <v/>
      </c>
    </row>
    <row r="893" spans="1:4">
      <c r="A893" s="42" t="s">
        <v>955</v>
      </c>
      <c r="B893">
        <f>IFERROR(FIND('Simulador IR 2025'!$I$29, A893), 0)</f>
        <v>1</v>
      </c>
      <c r="C893">
        <f>IF(B893&gt;0, MAX($C$2:C892)+1, "")</f>
        <v>891</v>
      </c>
      <c r="D893" t="str">
        <f t="shared" si="13"/>
        <v/>
      </c>
    </row>
    <row r="894" spans="1:4">
      <c r="A894" s="42" t="s">
        <v>956</v>
      </c>
      <c r="B894">
        <f>IFERROR(FIND('Simulador IR 2025'!$I$29, A894), 0)</f>
        <v>1</v>
      </c>
      <c r="C894">
        <f>IF(B894&gt;0, MAX($C$2:C893)+1, "")</f>
        <v>892</v>
      </c>
      <c r="D894" t="str">
        <f t="shared" si="13"/>
        <v/>
      </c>
    </row>
    <row r="895" spans="1:4">
      <c r="A895" s="42" t="s">
        <v>957</v>
      </c>
      <c r="B895">
        <f>IFERROR(FIND('Simulador IR 2025'!$I$29, A895), 0)</f>
        <v>1</v>
      </c>
      <c r="C895">
        <f>IF(B895&gt;0, MAX($C$2:C894)+1, "")</f>
        <v>893</v>
      </c>
      <c r="D895" t="str">
        <f t="shared" si="13"/>
        <v/>
      </c>
    </row>
    <row r="896" spans="1:4">
      <c r="A896" s="42" t="s">
        <v>958</v>
      </c>
      <c r="B896">
        <f>IFERROR(FIND('Simulador IR 2025'!$I$29, A896), 0)</f>
        <v>1</v>
      </c>
      <c r="C896">
        <f>IF(B896&gt;0, MAX($C$2:C895)+1, "")</f>
        <v>894</v>
      </c>
      <c r="D896" t="str">
        <f t="shared" si="13"/>
        <v/>
      </c>
    </row>
    <row r="897" spans="1:4">
      <c r="A897" s="42" t="s">
        <v>959</v>
      </c>
      <c r="B897">
        <f>IFERROR(FIND('Simulador IR 2025'!$I$29, A897), 0)</f>
        <v>1</v>
      </c>
      <c r="C897">
        <f>IF(B897&gt;0, MAX($C$2:C896)+1, "")</f>
        <v>895</v>
      </c>
      <c r="D897" t="str">
        <f t="shared" si="13"/>
        <v/>
      </c>
    </row>
    <row r="898" spans="1:4">
      <c r="A898" s="42" t="s">
        <v>960</v>
      </c>
      <c r="B898">
        <f>IFERROR(FIND('Simulador IR 2025'!$I$29, A898), 0)</f>
        <v>1</v>
      </c>
      <c r="C898">
        <f>IF(B898&gt;0, MAX($C$2:C897)+1, "")</f>
        <v>896</v>
      </c>
      <c r="D898" t="str">
        <f t="shared" si="13"/>
        <v/>
      </c>
    </row>
    <row r="899" spans="1:4">
      <c r="A899" s="42" t="s">
        <v>961</v>
      </c>
      <c r="B899">
        <f>IFERROR(FIND('Simulador IR 2025'!$I$29, A899), 0)</f>
        <v>1</v>
      </c>
      <c r="C899">
        <f>IF(B899&gt;0, MAX($C$2:C898)+1, "")</f>
        <v>897</v>
      </c>
      <c r="D899" t="str">
        <f t="shared" si="13"/>
        <v/>
      </c>
    </row>
    <row r="900" spans="1:4">
      <c r="A900" s="42" t="s">
        <v>962</v>
      </c>
      <c r="B900">
        <f>IFERROR(FIND('Simulador IR 2025'!$I$29, A900), 0)</f>
        <v>1</v>
      </c>
      <c r="C900">
        <f>IF(B900&gt;0, MAX($C$2:C899)+1, "")</f>
        <v>898</v>
      </c>
      <c r="D900" t="str">
        <f t="shared" ref="D900:D963" si="14">IFERROR(VLOOKUP(ROW(A898), $A$3:$C$2681, -2, FALSE), "")</f>
        <v/>
      </c>
    </row>
    <row r="901" spans="1:4">
      <c r="A901" s="42" t="s">
        <v>963</v>
      </c>
      <c r="B901">
        <f>IFERROR(FIND('Simulador IR 2025'!$I$29, A901), 0)</f>
        <v>1</v>
      </c>
      <c r="C901">
        <f>IF(B901&gt;0, MAX($C$2:C900)+1, "")</f>
        <v>899</v>
      </c>
      <c r="D901" t="str">
        <f t="shared" si="14"/>
        <v/>
      </c>
    </row>
    <row r="902" spans="1:4">
      <c r="A902" s="42" t="s">
        <v>964</v>
      </c>
      <c r="B902">
        <f>IFERROR(FIND('Simulador IR 2025'!$I$29, A902), 0)</f>
        <v>1</v>
      </c>
      <c r="C902">
        <f>IF(B902&gt;0, MAX($C$2:C901)+1, "")</f>
        <v>900</v>
      </c>
      <c r="D902" t="str">
        <f t="shared" si="14"/>
        <v/>
      </c>
    </row>
    <row r="903" spans="1:4">
      <c r="A903" s="42" t="s">
        <v>965</v>
      </c>
      <c r="B903">
        <f>IFERROR(FIND('Simulador IR 2025'!$I$29, A903), 0)</f>
        <v>1</v>
      </c>
      <c r="C903">
        <f>IF(B903&gt;0, MAX($C$2:C902)+1, "")</f>
        <v>901</v>
      </c>
      <c r="D903" t="str">
        <f t="shared" si="14"/>
        <v/>
      </c>
    </row>
    <row r="904" spans="1:4">
      <c r="A904" s="42" t="s">
        <v>966</v>
      </c>
      <c r="B904">
        <f>IFERROR(FIND('Simulador IR 2025'!$I$29, A904), 0)</f>
        <v>1</v>
      </c>
      <c r="C904">
        <f>IF(B904&gt;0, MAX($C$2:C903)+1, "")</f>
        <v>902</v>
      </c>
      <c r="D904" t="str">
        <f t="shared" si="14"/>
        <v/>
      </c>
    </row>
    <row r="905" spans="1:4">
      <c r="A905" s="42" t="s">
        <v>967</v>
      </c>
      <c r="B905">
        <f>IFERROR(FIND('Simulador IR 2025'!$I$29, A905), 0)</f>
        <v>1</v>
      </c>
      <c r="C905">
        <f>IF(B905&gt;0, MAX($C$2:C904)+1, "")</f>
        <v>903</v>
      </c>
      <c r="D905" t="str">
        <f t="shared" si="14"/>
        <v/>
      </c>
    </row>
    <row r="906" spans="1:4">
      <c r="A906" s="42" t="s">
        <v>968</v>
      </c>
      <c r="B906">
        <f>IFERROR(FIND('Simulador IR 2025'!$I$29, A906), 0)</f>
        <v>1</v>
      </c>
      <c r="C906">
        <f>IF(B906&gt;0, MAX($C$2:C905)+1, "")</f>
        <v>904</v>
      </c>
      <c r="D906" t="str">
        <f t="shared" si="14"/>
        <v/>
      </c>
    </row>
    <row r="907" spans="1:4">
      <c r="A907" s="42" t="s">
        <v>969</v>
      </c>
      <c r="B907">
        <f>IFERROR(FIND('Simulador IR 2025'!$I$29, A907), 0)</f>
        <v>1</v>
      </c>
      <c r="C907">
        <f>IF(B907&gt;0, MAX($C$2:C906)+1, "")</f>
        <v>905</v>
      </c>
      <c r="D907" t="str">
        <f t="shared" si="14"/>
        <v/>
      </c>
    </row>
    <row r="908" spans="1:4">
      <c r="A908" s="42" t="s">
        <v>970</v>
      </c>
      <c r="B908">
        <f>IFERROR(FIND('Simulador IR 2025'!$I$29, A908), 0)</f>
        <v>1</v>
      </c>
      <c r="C908">
        <f>IF(B908&gt;0, MAX($C$2:C907)+1, "")</f>
        <v>906</v>
      </c>
      <c r="D908" t="str">
        <f t="shared" si="14"/>
        <v/>
      </c>
    </row>
    <row r="909" spans="1:4">
      <c r="A909" s="42" t="s">
        <v>971</v>
      </c>
      <c r="B909">
        <f>IFERROR(FIND('Simulador IR 2025'!$I$29, A909), 0)</f>
        <v>1</v>
      </c>
      <c r="C909">
        <f>IF(B909&gt;0, MAX($C$2:C908)+1, "")</f>
        <v>907</v>
      </c>
      <c r="D909" t="str">
        <f t="shared" si="14"/>
        <v/>
      </c>
    </row>
    <row r="910" spans="1:4">
      <c r="A910" s="42" t="s">
        <v>972</v>
      </c>
      <c r="B910">
        <f>IFERROR(FIND('Simulador IR 2025'!$I$29, A910), 0)</f>
        <v>1</v>
      </c>
      <c r="C910">
        <f>IF(B910&gt;0, MAX($C$2:C909)+1, "")</f>
        <v>908</v>
      </c>
      <c r="D910" t="str">
        <f t="shared" si="14"/>
        <v/>
      </c>
    </row>
    <row r="911" spans="1:4">
      <c r="A911" s="42" t="s">
        <v>973</v>
      </c>
      <c r="B911">
        <f>IFERROR(FIND('Simulador IR 2025'!$I$29, A911), 0)</f>
        <v>1</v>
      </c>
      <c r="C911">
        <f>IF(B911&gt;0, MAX($C$2:C910)+1, "")</f>
        <v>909</v>
      </c>
      <c r="D911" t="str">
        <f t="shared" si="14"/>
        <v/>
      </c>
    </row>
    <row r="912" spans="1:4">
      <c r="A912" s="42" t="s">
        <v>974</v>
      </c>
      <c r="B912">
        <f>IFERROR(FIND('Simulador IR 2025'!$I$29, A912), 0)</f>
        <v>1</v>
      </c>
      <c r="C912">
        <f>IF(B912&gt;0, MAX($C$2:C911)+1, "")</f>
        <v>910</v>
      </c>
      <c r="D912" t="str">
        <f t="shared" si="14"/>
        <v/>
      </c>
    </row>
    <row r="913" spans="1:4">
      <c r="A913" s="42" t="s">
        <v>975</v>
      </c>
      <c r="B913">
        <f>IFERROR(FIND('Simulador IR 2025'!$I$29, A913), 0)</f>
        <v>1</v>
      </c>
      <c r="C913">
        <f>IF(B913&gt;0, MAX($C$2:C912)+1, "")</f>
        <v>911</v>
      </c>
      <c r="D913" t="str">
        <f t="shared" si="14"/>
        <v/>
      </c>
    </row>
    <row r="914" spans="1:4">
      <c r="A914" s="42" t="s">
        <v>976</v>
      </c>
      <c r="B914">
        <f>IFERROR(FIND('Simulador IR 2025'!$I$29, A914), 0)</f>
        <v>1</v>
      </c>
      <c r="C914">
        <f>IF(B914&gt;0, MAX($C$2:C913)+1, "")</f>
        <v>912</v>
      </c>
      <c r="D914" t="str">
        <f t="shared" si="14"/>
        <v/>
      </c>
    </row>
    <row r="915" spans="1:4">
      <c r="A915" s="42" t="s">
        <v>977</v>
      </c>
      <c r="B915">
        <f>IFERROR(FIND('Simulador IR 2025'!$I$29, A915), 0)</f>
        <v>1</v>
      </c>
      <c r="C915">
        <f>IF(B915&gt;0, MAX($C$2:C914)+1, "")</f>
        <v>913</v>
      </c>
      <c r="D915" t="str">
        <f t="shared" si="14"/>
        <v/>
      </c>
    </row>
    <row r="916" spans="1:4">
      <c r="A916" s="42" t="s">
        <v>978</v>
      </c>
      <c r="B916">
        <f>IFERROR(FIND('Simulador IR 2025'!$I$29, A916), 0)</f>
        <v>1</v>
      </c>
      <c r="C916">
        <f>IF(B916&gt;0, MAX($C$2:C915)+1, "")</f>
        <v>914</v>
      </c>
      <c r="D916" t="str">
        <f t="shared" si="14"/>
        <v/>
      </c>
    </row>
    <row r="917" spans="1:4">
      <c r="A917" s="42" t="s">
        <v>979</v>
      </c>
      <c r="B917">
        <f>IFERROR(FIND('Simulador IR 2025'!$I$29, A917), 0)</f>
        <v>1</v>
      </c>
      <c r="C917">
        <f>IF(B917&gt;0, MAX($C$2:C916)+1, "")</f>
        <v>915</v>
      </c>
      <c r="D917" t="str">
        <f t="shared" si="14"/>
        <v/>
      </c>
    </row>
    <row r="918" spans="1:4">
      <c r="A918" s="42" t="s">
        <v>980</v>
      </c>
      <c r="B918">
        <f>IFERROR(FIND('Simulador IR 2025'!$I$29, A918), 0)</f>
        <v>1</v>
      </c>
      <c r="C918">
        <f>IF(B918&gt;0, MAX($C$2:C917)+1, "")</f>
        <v>916</v>
      </c>
      <c r="D918" t="str">
        <f t="shared" si="14"/>
        <v/>
      </c>
    </row>
    <row r="919" spans="1:4">
      <c r="A919" s="42" t="s">
        <v>981</v>
      </c>
      <c r="B919">
        <f>IFERROR(FIND('Simulador IR 2025'!$I$29, A919), 0)</f>
        <v>1</v>
      </c>
      <c r="C919">
        <f>IF(B919&gt;0, MAX($C$2:C918)+1, "")</f>
        <v>917</v>
      </c>
      <c r="D919" t="str">
        <f t="shared" si="14"/>
        <v/>
      </c>
    </row>
    <row r="920" spans="1:4">
      <c r="A920" s="42" t="s">
        <v>982</v>
      </c>
      <c r="B920">
        <f>IFERROR(FIND('Simulador IR 2025'!$I$29, A920), 0)</f>
        <v>1</v>
      </c>
      <c r="C920">
        <f>IF(B920&gt;0, MAX($C$2:C919)+1, "")</f>
        <v>918</v>
      </c>
      <c r="D920" t="str">
        <f t="shared" si="14"/>
        <v/>
      </c>
    </row>
    <row r="921" spans="1:4">
      <c r="A921" s="42" t="s">
        <v>983</v>
      </c>
      <c r="B921">
        <f>IFERROR(FIND('Simulador IR 2025'!$I$29, A921), 0)</f>
        <v>1</v>
      </c>
      <c r="C921">
        <f>IF(B921&gt;0, MAX($C$2:C920)+1, "")</f>
        <v>919</v>
      </c>
      <c r="D921" t="str">
        <f t="shared" si="14"/>
        <v/>
      </c>
    </row>
    <row r="922" spans="1:4">
      <c r="A922" s="42" t="s">
        <v>984</v>
      </c>
      <c r="B922">
        <f>IFERROR(FIND('Simulador IR 2025'!$I$29, A922), 0)</f>
        <v>1</v>
      </c>
      <c r="C922">
        <f>IF(B922&gt;0, MAX($C$2:C921)+1, "")</f>
        <v>920</v>
      </c>
      <c r="D922" t="str">
        <f t="shared" si="14"/>
        <v/>
      </c>
    </row>
    <row r="923" spans="1:4">
      <c r="A923" s="42" t="s">
        <v>985</v>
      </c>
      <c r="B923">
        <f>IFERROR(FIND('Simulador IR 2025'!$I$29, A923), 0)</f>
        <v>1</v>
      </c>
      <c r="C923">
        <f>IF(B923&gt;0, MAX($C$2:C922)+1, "")</f>
        <v>921</v>
      </c>
      <c r="D923" t="str">
        <f t="shared" si="14"/>
        <v/>
      </c>
    </row>
    <row r="924" spans="1:4">
      <c r="A924" s="42" t="s">
        <v>986</v>
      </c>
      <c r="B924">
        <f>IFERROR(FIND('Simulador IR 2025'!$I$29, A924), 0)</f>
        <v>1</v>
      </c>
      <c r="C924">
        <f>IF(B924&gt;0, MAX($C$2:C923)+1, "")</f>
        <v>922</v>
      </c>
      <c r="D924" t="str">
        <f t="shared" si="14"/>
        <v/>
      </c>
    </row>
    <row r="925" spans="1:4">
      <c r="A925" s="42" t="s">
        <v>987</v>
      </c>
      <c r="B925">
        <f>IFERROR(FIND('Simulador IR 2025'!$I$29, A925), 0)</f>
        <v>1</v>
      </c>
      <c r="C925">
        <f>IF(B925&gt;0, MAX($C$2:C924)+1, "")</f>
        <v>923</v>
      </c>
      <c r="D925" t="str">
        <f t="shared" si="14"/>
        <v/>
      </c>
    </row>
    <row r="926" spans="1:4">
      <c r="A926" s="42" t="s">
        <v>988</v>
      </c>
      <c r="B926">
        <f>IFERROR(FIND('Simulador IR 2025'!$I$29, A926), 0)</f>
        <v>1</v>
      </c>
      <c r="C926">
        <f>IF(B926&gt;0, MAX($C$2:C925)+1, "")</f>
        <v>924</v>
      </c>
      <c r="D926" t="str">
        <f t="shared" si="14"/>
        <v/>
      </c>
    </row>
    <row r="927" spans="1:4">
      <c r="A927" s="42" t="s">
        <v>989</v>
      </c>
      <c r="B927">
        <f>IFERROR(FIND('Simulador IR 2025'!$I$29, A927), 0)</f>
        <v>1</v>
      </c>
      <c r="C927">
        <f>IF(B927&gt;0, MAX($C$2:C926)+1, "")</f>
        <v>925</v>
      </c>
      <c r="D927" t="str">
        <f t="shared" si="14"/>
        <v/>
      </c>
    </row>
    <row r="928" spans="1:4">
      <c r="A928" s="42" t="s">
        <v>990</v>
      </c>
      <c r="B928">
        <f>IFERROR(FIND('Simulador IR 2025'!$I$29, A928), 0)</f>
        <v>1</v>
      </c>
      <c r="C928">
        <f>IF(B928&gt;0, MAX($C$2:C927)+1, "")</f>
        <v>926</v>
      </c>
      <c r="D928" t="str">
        <f t="shared" si="14"/>
        <v/>
      </c>
    </row>
    <row r="929" spans="1:4">
      <c r="A929" s="42" t="s">
        <v>991</v>
      </c>
      <c r="B929">
        <f>IFERROR(FIND('Simulador IR 2025'!$I$29, A929), 0)</f>
        <v>1</v>
      </c>
      <c r="C929">
        <f>IF(B929&gt;0, MAX($C$2:C928)+1, "")</f>
        <v>927</v>
      </c>
      <c r="D929" t="str">
        <f t="shared" si="14"/>
        <v/>
      </c>
    </row>
    <row r="930" spans="1:4">
      <c r="A930" s="42" t="s">
        <v>992</v>
      </c>
      <c r="B930">
        <f>IFERROR(FIND('Simulador IR 2025'!$I$29, A930), 0)</f>
        <v>1</v>
      </c>
      <c r="C930">
        <f>IF(B930&gt;0, MAX($C$2:C929)+1, "")</f>
        <v>928</v>
      </c>
      <c r="D930" t="str">
        <f t="shared" si="14"/>
        <v/>
      </c>
    </row>
    <row r="931" spans="1:4">
      <c r="A931" s="42" t="s">
        <v>993</v>
      </c>
      <c r="B931">
        <f>IFERROR(FIND('Simulador IR 2025'!$I$29, A931), 0)</f>
        <v>1</v>
      </c>
      <c r="C931">
        <f>IF(B931&gt;0, MAX($C$2:C930)+1, "")</f>
        <v>929</v>
      </c>
      <c r="D931" t="str">
        <f t="shared" si="14"/>
        <v/>
      </c>
    </row>
    <row r="932" spans="1:4">
      <c r="A932" s="42" t="s">
        <v>994</v>
      </c>
      <c r="B932">
        <f>IFERROR(FIND('Simulador IR 2025'!$I$29, A932), 0)</f>
        <v>1</v>
      </c>
      <c r="C932">
        <f>IF(B932&gt;0, MAX($C$2:C931)+1, "")</f>
        <v>930</v>
      </c>
      <c r="D932" t="str">
        <f t="shared" si="14"/>
        <v/>
      </c>
    </row>
    <row r="933" spans="1:4">
      <c r="A933" s="42" t="s">
        <v>995</v>
      </c>
      <c r="B933">
        <f>IFERROR(FIND('Simulador IR 2025'!$I$29, A933), 0)</f>
        <v>1</v>
      </c>
      <c r="C933">
        <f>IF(B933&gt;0, MAX($C$2:C932)+1, "")</f>
        <v>931</v>
      </c>
      <c r="D933" t="str">
        <f t="shared" si="14"/>
        <v/>
      </c>
    </row>
    <row r="934" spans="1:4">
      <c r="A934" s="42" t="s">
        <v>996</v>
      </c>
      <c r="B934">
        <f>IFERROR(FIND('Simulador IR 2025'!$I$29, A934), 0)</f>
        <v>1</v>
      </c>
      <c r="C934">
        <f>IF(B934&gt;0, MAX($C$2:C933)+1, "")</f>
        <v>932</v>
      </c>
      <c r="D934" t="str">
        <f t="shared" si="14"/>
        <v/>
      </c>
    </row>
    <row r="935" spans="1:4">
      <c r="A935" s="42" t="s">
        <v>997</v>
      </c>
      <c r="B935">
        <f>IFERROR(FIND('Simulador IR 2025'!$I$29, A935), 0)</f>
        <v>1</v>
      </c>
      <c r="C935">
        <f>IF(B935&gt;0, MAX($C$2:C934)+1, "")</f>
        <v>933</v>
      </c>
      <c r="D935" t="str">
        <f t="shared" si="14"/>
        <v/>
      </c>
    </row>
    <row r="936" spans="1:4">
      <c r="A936" s="42" t="s">
        <v>998</v>
      </c>
      <c r="B936">
        <f>IFERROR(FIND('Simulador IR 2025'!$I$29, A936), 0)</f>
        <v>1</v>
      </c>
      <c r="C936">
        <f>IF(B936&gt;0, MAX($C$2:C935)+1, "")</f>
        <v>934</v>
      </c>
      <c r="D936" t="str">
        <f t="shared" si="14"/>
        <v/>
      </c>
    </row>
    <row r="937" spans="1:4">
      <c r="A937" s="42" t="s">
        <v>999</v>
      </c>
      <c r="B937">
        <f>IFERROR(FIND('Simulador IR 2025'!$I$29, A937), 0)</f>
        <v>1</v>
      </c>
      <c r="C937">
        <f>IF(B937&gt;0, MAX($C$2:C936)+1, "")</f>
        <v>935</v>
      </c>
      <c r="D937" t="str">
        <f t="shared" si="14"/>
        <v/>
      </c>
    </row>
    <row r="938" spans="1:4">
      <c r="A938" s="42" t="s">
        <v>1000</v>
      </c>
      <c r="B938">
        <f>IFERROR(FIND('Simulador IR 2025'!$I$29, A938), 0)</f>
        <v>1</v>
      </c>
      <c r="C938">
        <f>IF(B938&gt;0, MAX($C$2:C937)+1, "")</f>
        <v>936</v>
      </c>
      <c r="D938" t="str">
        <f t="shared" si="14"/>
        <v/>
      </c>
    </row>
    <row r="939" spans="1:4">
      <c r="A939" s="42" t="s">
        <v>1001</v>
      </c>
      <c r="B939">
        <f>IFERROR(FIND('Simulador IR 2025'!$I$29, A939), 0)</f>
        <v>1</v>
      </c>
      <c r="C939">
        <f>IF(B939&gt;0, MAX($C$2:C938)+1, "")</f>
        <v>937</v>
      </c>
      <c r="D939" t="str">
        <f t="shared" si="14"/>
        <v/>
      </c>
    </row>
    <row r="940" spans="1:4">
      <c r="A940" s="42" t="s">
        <v>1002</v>
      </c>
      <c r="B940">
        <f>IFERROR(FIND('Simulador IR 2025'!$I$29, A940), 0)</f>
        <v>1</v>
      </c>
      <c r="C940">
        <f>IF(B940&gt;0, MAX($C$2:C939)+1, "")</f>
        <v>938</v>
      </c>
      <c r="D940" t="str">
        <f t="shared" si="14"/>
        <v/>
      </c>
    </row>
    <row r="941" spans="1:4">
      <c r="A941" s="42" t="s">
        <v>1003</v>
      </c>
      <c r="B941">
        <f>IFERROR(FIND('Simulador IR 2025'!$I$29, A941), 0)</f>
        <v>1</v>
      </c>
      <c r="C941">
        <f>IF(B941&gt;0, MAX($C$2:C940)+1, "")</f>
        <v>939</v>
      </c>
      <c r="D941" t="str">
        <f t="shared" si="14"/>
        <v/>
      </c>
    </row>
    <row r="942" spans="1:4">
      <c r="A942" s="42" t="s">
        <v>1004</v>
      </c>
      <c r="B942">
        <f>IFERROR(FIND('Simulador IR 2025'!$I$29, A942), 0)</f>
        <v>1</v>
      </c>
      <c r="C942">
        <f>IF(B942&gt;0, MAX($C$2:C941)+1, "")</f>
        <v>940</v>
      </c>
      <c r="D942" t="str">
        <f t="shared" si="14"/>
        <v/>
      </c>
    </row>
    <row r="943" spans="1:4">
      <c r="A943" s="42" t="s">
        <v>1005</v>
      </c>
      <c r="B943">
        <f>IFERROR(FIND('Simulador IR 2025'!$I$29, A943), 0)</f>
        <v>1</v>
      </c>
      <c r="C943">
        <f>IF(B943&gt;0, MAX($C$2:C942)+1, "")</f>
        <v>941</v>
      </c>
      <c r="D943" t="str">
        <f t="shared" si="14"/>
        <v/>
      </c>
    </row>
    <row r="944" spans="1:4">
      <c r="A944" s="42" t="s">
        <v>1006</v>
      </c>
      <c r="B944">
        <f>IFERROR(FIND('Simulador IR 2025'!$I$29, A944), 0)</f>
        <v>1</v>
      </c>
      <c r="C944">
        <f>IF(B944&gt;0, MAX($C$2:C943)+1, "")</f>
        <v>942</v>
      </c>
      <c r="D944" t="str">
        <f t="shared" si="14"/>
        <v/>
      </c>
    </row>
    <row r="945" spans="1:4">
      <c r="A945" s="42" t="s">
        <v>1007</v>
      </c>
      <c r="B945">
        <f>IFERROR(FIND('Simulador IR 2025'!$I$29, A945), 0)</f>
        <v>1</v>
      </c>
      <c r="C945">
        <f>IF(B945&gt;0, MAX($C$2:C944)+1, "")</f>
        <v>943</v>
      </c>
      <c r="D945" t="str">
        <f t="shared" si="14"/>
        <v/>
      </c>
    </row>
    <row r="946" spans="1:4">
      <c r="A946" s="42" t="s">
        <v>1008</v>
      </c>
      <c r="B946">
        <f>IFERROR(FIND('Simulador IR 2025'!$I$29, A946), 0)</f>
        <v>1</v>
      </c>
      <c r="C946">
        <f>IF(B946&gt;0, MAX($C$2:C945)+1, "")</f>
        <v>944</v>
      </c>
      <c r="D946" t="str">
        <f t="shared" si="14"/>
        <v/>
      </c>
    </row>
    <row r="947" spans="1:4">
      <c r="A947" s="42" t="s">
        <v>1009</v>
      </c>
      <c r="B947">
        <f>IFERROR(FIND('Simulador IR 2025'!$I$29, A947), 0)</f>
        <v>1</v>
      </c>
      <c r="C947">
        <f>IF(B947&gt;0, MAX($C$2:C946)+1, "")</f>
        <v>945</v>
      </c>
      <c r="D947" t="str">
        <f t="shared" si="14"/>
        <v/>
      </c>
    </row>
    <row r="948" spans="1:4">
      <c r="A948" s="42" t="s">
        <v>1010</v>
      </c>
      <c r="B948">
        <f>IFERROR(FIND('Simulador IR 2025'!$I$29, A948), 0)</f>
        <v>1</v>
      </c>
      <c r="C948">
        <f>IF(B948&gt;0, MAX($C$2:C947)+1, "")</f>
        <v>946</v>
      </c>
      <c r="D948" t="str">
        <f t="shared" si="14"/>
        <v/>
      </c>
    </row>
    <row r="949" spans="1:4">
      <c r="A949" s="42" t="s">
        <v>1011</v>
      </c>
      <c r="B949">
        <f>IFERROR(FIND('Simulador IR 2025'!$I$29, A949), 0)</f>
        <v>1</v>
      </c>
      <c r="C949">
        <f>IF(B949&gt;0, MAX($C$2:C948)+1, "")</f>
        <v>947</v>
      </c>
      <c r="D949" t="str">
        <f t="shared" si="14"/>
        <v/>
      </c>
    </row>
    <row r="950" spans="1:4">
      <c r="A950" s="42" t="s">
        <v>1012</v>
      </c>
      <c r="B950">
        <f>IFERROR(FIND('Simulador IR 2025'!$I$29, A950), 0)</f>
        <v>1</v>
      </c>
      <c r="C950">
        <f>IF(B950&gt;0, MAX($C$2:C949)+1, "")</f>
        <v>948</v>
      </c>
      <c r="D950" t="str">
        <f t="shared" si="14"/>
        <v/>
      </c>
    </row>
    <row r="951" spans="1:4">
      <c r="A951" s="42" t="s">
        <v>1013</v>
      </c>
      <c r="B951">
        <f>IFERROR(FIND('Simulador IR 2025'!$I$29, A951), 0)</f>
        <v>1</v>
      </c>
      <c r="C951">
        <f>IF(B951&gt;0, MAX($C$2:C950)+1, "")</f>
        <v>949</v>
      </c>
      <c r="D951" t="str">
        <f t="shared" si="14"/>
        <v/>
      </c>
    </row>
    <row r="952" spans="1:4">
      <c r="A952" s="42" t="s">
        <v>1014</v>
      </c>
      <c r="B952">
        <f>IFERROR(FIND('Simulador IR 2025'!$I$29, A952), 0)</f>
        <v>1</v>
      </c>
      <c r="C952">
        <f>IF(B952&gt;0, MAX($C$2:C951)+1, "")</f>
        <v>950</v>
      </c>
      <c r="D952" t="str">
        <f t="shared" si="14"/>
        <v/>
      </c>
    </row>
    <row r="953" spans="1:4">
      <c r="A953" s="42" t="s">
        <v>1015</v>
      </c>
      <c r="B953">
        <f>IFERROR(FIND('Simulador IR 2025'!$I$29, A953), 0)</f>
        <v>1</v>
      </c>
      <c r="C953">
        <f>IF(B953&gt;0, MAX($C$2:C952)+1, "")</f>
        <v>951</v>
      </c>
      <c r="D953" t="str">
        <f t="shared" si="14"/>
        <v/>
      </c>
    </row>
    <row r="954" spans="1:4">
      <c r="A954" s="42" t="s">
        <v>1016</v>
      </c>
      <c r="B954">
        <f>IFERROR(FIND('Simulador IR 2025'!$I$29, A954), 0)</f>
        <v>1</v>
      </c>
      <c r="C954">
        <f>IF(B954&gt;0, MAX($C$2:C953)+1, "")</f>
        <v>952</v>
      </c>
      <c r="D954" t="str">
        <f t="shared" si="14"/>
        <v/>
      </c>
    </row>
    <row r="955" spans="1:4">
      <c r="A955" s="42" t="s">
        <v>1017</v>
      </c>
      <c r="B955">
        <f>IFERROR(FIND('Simulador IR 2025'!$I$29, A955), 0)</f>
        <v>1</v>
      </c>
      <c r="C955">
        <f>IF(B955&gt;0, MAX($C$2:C954)+1, "")</f>
        <v>953</v>
      </c>
      <c r="D955" t="str">
        <f t="shared" si="14"/>
        <v/>
      </c>
    </row>
    <row r="956" spans="1:4">
      <c r="A956" s="42" t="s">
        <v>1018</v>
      </c>
      <c r="B956">
        <f>IFERROR(FIND('Simulador IR 2025'!$I$29, A956), 0)</f>
        <v>1</v>
      </c>
      <c r="C956">
        <f>IF(B956&gt;0, MAX($C$2:C955)+1, "")</f>
        <v>954</v>
      </c>
      <c r="D956" t="str">
        <f t="shared" si="14"/>
        <v/>
      </c>
    </row>
    <row r="957" spans="1:4">
      <c r="A957" s="42" t="s">
        <v>1019</v>
      </c>
      <c r="B957">
        <f>IFERROR(FIND('Simulador IR 2025'!$I$29, A957), 0)</f>
        <v>1</v>
      </c>
      <c r="C957">
        <f>IF(B957&gt;0, MAX($C$2:C956)+1, "")</f>
        <v>955</v>
      </c>
      <c r="D957" t="str">
        <f t="shared" si="14"/>
        <v/>
      </c>
    </row>
    <row r="958" spans="1:4">
      <c r="A958" s="42" t="s">
        <v>1020</v>
      </c>
      <c r="B958">
        <f>IFERROR(FIND('Simulador IR 2025'!$I$29, A958), 0)</f>
        <v>1</v>
      </c>
      <c r="C958">
        <f>IF(B958&gt;0, MAX($C$2:C957)+1, "")</f>
        <v>956</v>
      </c>
      <c r="D958" t="str">
        <f t="shared" si="14"/>
        <v/>
      </c>
    </row>
    <row r="959" spans="1:4">
      <c r="A959" s="42" t="s">
        <v>1021</v>
      </c>
      <c r="B959">
        <f>IFERROR(FIND('Simulador IR 2025'!$I$29, A959), 0)</f>
        <v>1</v>
      </c>
      <c r="C959">
        <f>IF(B959&gt;0, MAX($C$2:C958)+1, "")</f>
        <v>957</v>
      </c>
      <c r="D959" t="str">
        <f t="shared" si="14"/>
        <v/>
      </c>
    </row>
    <row r="960" spans="1:4">
      <c r="A960" s="42" t="s">
        <v>1022</v>
      </c>
      <c r="B960">
        <f>IFERROR(FIND('Simulador IR 2025'!$I$29, A960), 0)</f>
        <v>1</v>
      </c>
      <c r="C960">
        <f>IF(B960&gt;0, MAX($C$2:C959)+1, "")</f>
        <v>958</v>
      </c>
      <c r="D960" t="str">
        <f t="shared" si="14"/>
        <v/>
      </c>
    </row>
    <row r="961" spans="1:4">
      <c r="A961" s="42" t="s">
        <v>1023</v>
      </c>
      <c r="B961">
        <f>IFERROR(FIND('Simulador IR 2025'!$I$29, A961), 0)</f>
        <v>1</v>
      </c>
      <c r="C961">
        <f>IF(B961&gt;0, MAX($C$2:C960)+1, "")</f>
        <v>959</v>
      </c>
      <c r="D961" t="str">
        <f t="shared" si="14"/>
        <v/>
      </c>
    </row>
    <row r="962" spans="1:4">
      <c r="A962" s="42" t="s">
        <v>1024</v>
      </c>
      <c r="B962">
        <f>IFERROR(FIND('Simulador IR 2025'!$I$29, A962), 0)</f>
        <v>1</v>
      </c>
      <c r="C962">
        <f>IF(B962&gt;0, MAX($C$2:C961)+1, "")</f>
        <v>960</v>
      </c>
      <c r="D962" t="str">
        <f t="shared" si="14"/>
        <v/>
      </c>
    </row>
    <row r="963" spans="1:4">
      <c r="A963" s="42" t="s">
        <v>1025</v>
      </c>
      <c r="B963">
        <f>IFERROR(FIND('Simulador IR 2025'!$I$29, A963), 0)</f>
        <v>1</v>
      </c>
      <c r="C963">
        <f>IF(B963&gt;0, MAX($C$2:C962)+1, "")</f>
        <v>961</v>
      </c>
      <c r="D963" t="str">
        <f t="shared" si="14"/>
        <v/>
      </c>
    </row>
    <row r="964" spans="1:4">
      <c r="A964" s="42" t="s">
        <v>1026</v>
      </c>
      <c r="B964">
        <f>IFERROR(FIND('Simulador IR 2025'!$I$29, A964), 0)</f>
        <v>1</v>
      </c>
      <c r="C964">
        <f>IF(B964&gt;0, MAX($C$2:C963)+1, "")</f>
        <v>962</v>
      </c>
      <c r="D964" t="str">
        <f t="shared" ref="D964:D1027" si="15">IFERROR(VLOOKUP(ROW(A962), $A$3:$C$2681, -2, FALSE), "")</f>
        <v/>
      </c>
    </row>
    <row r="965" spans="1:4">
      <c r="A965" s="42" t="s">
        <v>1027</v>
      </c>
      <c r="B965">
        <f>IFERROR(FIND('Simulador IR 2025'!$I$29, A965), 0)</f>
        <v>1</v>
      </c>
      <c r="C965">
        <f>IF(B965&gt;0, MAX($C$2:C964)+1, "")</f>
        <v>963</v>
      </c>
      <c r="D965" t="str">
        <f t="shared" si="15"/>
        <v/>
      </c>
    </row>
    <row r="966" spans="1:4">
      <c r="A966" s="42" t="s">
        <v>1028</v>
      </c>
      <c r="B966">
        <f>IFERROR(FIND('Simulador IR 2025'!$I$29, A966), 0)</f>
        <v>1</v>
      </c>
      <c r="C966">
        <f>IF(B966&gt;0, MAX($C$2:C965)+1, "")</f>
        <v>964</v>
      </c>
      <c r="D966" t="str">
        <f t="shared" si="15"/>
        <v/>
      </c>
    </row>
    <row r="967" spans="1:4">
      <c r="A967" s="42" t="s">
        <v>1029</v>
      </c>
      <c r="B967">
        <f>IFERROR(FIND('Simulador IR 2025'!$I$29, A967), 0)</f>
        <v>1</v>
      </c>
      <c r="C967">
        <f>IF(B967&gt;0, MAX($C$2:C966)+1, "")</f>
        <v>965</v>
      </c>
      <c r="D967" t="str">
        <f t="shared" si="15"/>
        <v/>
      </c>
    </row>
    <row r="968" spans="1:4">
      <c r="A968" s="42" t="s">
        <v>1030</v>
      </c>
      <c r="B968">
        <f>IFERROR(FIND('Simulador IR 2025'!$I$29, A968), 0)</f>
        <v>1</v>
      </c>
      <c r="C968">
        <f>IF(B968&gt;0, MAX($C$2:C967)+1, "")</f>
        <v>966</v>
      </c>
      <c r="D968" t="str">
        <f t="shared" si="15"/>
        <v/>
      </c>
    </row>
    <row r="969" spans="1:4">
      <c r="A969" s="42" t="s">
        <v>1031</v>
      </c>
      <c r="B969">
        <f>IFERROR(FIND('Simulador IR 2025'!$I$29, A969), 0)</f>
        <v>1</v>
      </c>
      <c r="C969">
        <f>IF(B969&gt;0, MAX($C$2:C968)+1, "")</f>
        <v>967</v>
      </c>
      <c r="D969" t="str">
        <f t="shared" si="15"/>
        <v/>
      </c>
    </row>
    <row r="970" spans="1:4">
      <c r="A970" s="42" t="s">
        <v>1032</v>
      </c>
      <c r="B970">
        <f>IFERROR(FIND('Simulador IR 2025'!$I$29, A970), 0)</f>
        <v>1</v>
      </c>
      <c r="C970">
        <f>IF(B970&gt;0, MAX($C$2:C969)+1, "")</f>
        <v>968</v>
      </c>
      <c r="D970" t="str">
        <f t="shared" si="15"/>
        <v/>
      </c>
    </row>
    <row r="971" spans="1:4">
      <c r="A971" s="42" t="s">
        <v>1033</v>
      </c>
      <c r="B971">
        <f>IFERROR(FIND('Simulador IR 2025'!$I$29, A971), 0)</f>
        <v>1</v>
      </c>
      <c r="C971">
        <f>IF(B971&gt;0, MAX($C$2:C970)+1, "")</f>
        <v>969</v>
      </c>
      <c r="D971" t="str">
        <f t="shared" si="15"/>
        <v/>
      </c>
    </row>
    <row r="972" spans="1:4">
      <c r="A972" s="42" t="s">
        <v>1034</v>
      </c>
      <c r="B972">
        <f>IFERROR(FIND('Simulador IR 2025'!$I$29, A972), 0)</f>
        <v>1</v>
      </c>
      <c r="C972">
        <f>IF(B972&gt;0, MAX($C$2:C971)+1, "")</f>
        <v>970</v>
      </c>
      <c r="D972" t="str">
        <f t="shared" si="15"/>
        <v/>
      </c>
    </row>
    <row r="973" spans="1:4">
      <c r="A973" s="42" t="s">
        <v>1035</v>
      </c>
      <c r="B973">
        <f>IFERROR(FIND('Simulador IR 2025'!$I$29, A973), 0)</f>
        <v>1</v>
      </c>
      <c r="C973">
        <f>IF(B973&gt;0, MAX($C$2:C972)+1, "")</f>
        <v>971</v>
      </c>
      <c r="D973" t="str">
        <f t="shared" si="15"/>
        <v/>
      </c>
    </row>
    <row r="974" spans="1:4">
      <c r="A974" s="42" t="s">
        <v>1036</v>
      </c>
      <c r="B974">
        <f>IFERROR(FIND('Simulador IR 2025'!$I$29, A974), 0)</f>
        <v>1</v>
      </c>
      <c r="C974">
        <f>IF(B974&gt;0, MAX($C$2:C973)+1, "")</f>
        <v>972</v>
      </c>
      <c r="D974" t="str">
        <f t="shared" si="15"/>
        <v/>
      </c>
    </row>
    <row r="975" spans="1:4">
      <c r="A975" s="42" t="s">
        <v>1037</v>
      </c>
      <c r="B975">
        <f>IFERROR(FIND('Simulador IR 2025'!$I$29, A975), 0)</f>
        <v>1</v>
      </c>
      <c r="C975">
        <f>IF(B975&gt;0, MAX($C$2:C974)+1, "")</f>
        <v>973</v>
      </c>
      <c r="D975" t="str">
        <f t="shared" si="15"/>
        <v/>
      </c>
    </row>
    <row r="976" spans="1:4">
      <c r="A976" s="42" t="s">
        <v>1038</v>
      </c>
      <c r="B976">
        <f>IFERROR(FIND('Simulador IR 2025'!$I$29, A976), 0)</f>
        <v>1</v>
      </c>
      <c r="C976">
        <f>IF(B976&gt;0, MAX($C$2:C975)+1, "")</f>
        <v>974</v>
      </c>
      <c r="D976" t="str">
        <f t="shared" si="15"/>
        <v/>
      </c>
    </row>
    <row r="977" spans="1:4">
      <c r="A977" s="42" t="s">
        <v>1039</v>
      </c>
      <c r="B977">
        <f>IFERROR(FIND('Simulador IR 2025'!$I$29, A977), 0)</f>
        <v>1</v>
      </c>
      <c r="C977">
        <f>IF(B977&gt;0, MAX($C$2:C976)+1, "")</f>
        <v>975</v>
      </c>
      <c r="D977" t="str">
        <f t="shared" si="15"/>
        <v/>
      </c>
    </row>
    <row r="978" spans="1:4">
      <c r="A978" s="42" t="s">
        <v>1040</v>
      </c>
      <c r="B978">
        <f>IFERROR(FIND('Simulador IR 2025'!$I$29, A978), 0)</f>
        <v>1</v>
      </c>
      <c r="C978">
        <f>IF(B978&gt;0, MAX($C$2:C977)+1, "")</f>
        <v>976</v>
      </c>
      <c r="D978" t="str">
        <f t="shared" si="15"/>
        <v/>
      </c>
    </row>
    <row r="979" spans="1:4">
      <c r="A979" s="42" t="s">
        <v>1041</v>
      </c>
      <c r="B979">
        <f>IFERROR(FIND('Simulador IR 2025'!$I$29, A979), 0)</f>
        <v>1</v>
      </c>
      <c r="C979">
        <f>IF(B979&gt;0, MAX($C$2:C978)+1, "")</f>
        <v>977</v>
      </c>
      <c r="D979" t="str">
        <f t="shared" si="15"/>
        <v/>
      </c>
    </row>
    <row r="980" spans="1:4">
      <c r="A980" s="42" t="s">
        <v>1042</v>
      </c>
      <c r="B980">
        <f>IFERROR(FIND('Simulador IR 2025'!$I$29, A980), 0)</f>
        <v>1</v>
      </c>
      <c r="C980">
        <f>IF(B980&gt;0, MAX($C$2:C979)+1, "")</f>
        <v>978</v>
      </c>
      <c r="D980" t="str">
        <f t="shared" si="15"/>
        <v/>
      </c>
    </row>
    <row r="981" spans="1:4">
      <c r="A981" s="42" t="s">
        <v>1043</v>
      </c>
      <c r="B981">
        <f>IFERROR(FIND('Simulador IR 2025'!$I$29, A981), 0)</f>
        <v>1</v>
      </c>
      <c r="C981">
        <f>IF(B981&gt;0, MAX($C$2:C980)+1, "")</f>
        <v>979</v>
      </c>
      <c r="D981" t="str">
        <f t="shared" si="15"/>
        <v/>
      </c>
    </row>
    <row r="982" spans="1:4">
      <c r="A982" s="42" t="s">
        <v>1044</v>
      </c>
      <c r="B982">
        <f>IFERROR(FIND('Simulador IR 2025'!$I$29, A982), 0)</f>
        <v>1</v>
      </c>
      <c r="C982">
        <f>IF(B982&gt;0, MAX($C$2:C981)+1, "")</f>
        <v>980</v>
      </c>
      <c r="D982" t="str">
        <f t="shared" si="15"/>
        <v/>
      </c>
    </row>
    <row r="983" spans="1:4">
      <c r="A983" s="42" t="s">
        <v>1045</v>
      </c>
      <c r="B983">
        <f>IFERROR(FIND('Simulador IR 2025'!$I$29, A983), 0)</f>
        <v>1</v>
      </c>
      <c r="C983">
        <f>IF(B983&gt;0, MAX($C$2:C982)+1, "")</f>
        <v>981</v>
      </c>
      <c r="D983" t="str">
        <f t="shared" si="15"/>
        <v/>
      </c>
    </row>
    <row r="984" spans="1:4">
      <c r="A984" s="42" t="s">
        <v>1046</v>
      </c>
      <c r="B984">
        <f>IFERROR(FIND('Simulador IR 2025'!$I$29, A984), 0)</f>
        <v>1</v>
      </c>
      <c r="C984">
        <f>IF(B984&gt;0, MAX($C$2:C983)+1, "")</f>
        <v>982</v>
      </c>
      <c r="D984" t="str">
        <f t="shared" si="15"/>
        <v/>
      </c>
    </row>
    <row r="985" spans="1:4">
      <c r="A985" s="42" t="s">
        <v>1047</v>
      </c>
      <c r="B985">
        <f>IFERROR(FIND('Simulador IR 2025'!$I$29, A985), 0)</f>
        <v>1</v>
      </c>
      <c r="C985">
        <f>IF(B985&gt;0, MAX($C$2:C984)+1, "")</f>
        <v>983</v>
      </c>
      <c r="D985" t="str">
        <f t="shared" si="15"/>
        <v/>
      </c>
    </row>
    <row r="986" spans="1:4">
      <c r="A986" s="42" t="s">
        <v>1048</v>
      </c>
      <c r="B986">
        <f>IFERROR(FIND('Simulador IR 2025'!$I$29, A986), 0)</f>
        <v>1</v>
      </c>
      <c r="C986">
        <f>IF(B986&gt;0, MAX($C$2:C985)+1, "")</f>
        <v>984</v>
      </c>
      <c r="D986" t="str">
        <f t="shared" si="15"/>
        <v/>
      </c>
    </row>
    <row r="987" spans="1:4">
      <c r="A987" s="42" t="s">
        <v>1049</v>
      </c>
      <c r="B987">
        <f>IFERROR(FIND('Simulador IR 2025'!$I$29, A987), 0)</f>
        <v>1</v>
      </c>
      <c r="C987">
        <f>IF(B987&gt;0, MAX($C$2:C986)+1, "")</f>
        <v>985</v>
      </c>
      <c r="D987" t="str">
        <f t="shared" si="15"/>
        <v/>
      </c>
    </row>
    <row r="988" spans="1:4">
      <c r="A988" s="42" t="s">
        <v>1050</v>
      </c>
      <c r="B988">
        <f>IFERROR(FIND('Simulador IR 2025'!$I$29, A988), 0)</f>
        <v>1</v>
      </c>
      <c r="C988">
        <f>IF(B988&gt;0, MAX($C$2:C987)+1, "")</f>
        <v>986</v>
      </c>
      <c r="D988" t="str">
        <f t="shared" si="15"/>
        <v/>
      </c>
    </row>
    <row r="989" spans="1:4">
      <c r="A989" s="42" t="s">
        <v>1051</v>
      </c>
      <c r="B989">
        <f>IFERROR(FIND('Simulador IR 2025'!$I$29, A989), 0)</f>
        <v>1</v>
      </c>
      <c r="C989">
        <f>IF(B989&gt;0, MAX($C$2:C988)+1, "")</f>
        <v>987</v>
      </c>
      <c r="D989" t="str">
        <f t="shared" si="15"/>
        <v/>
      </c>
    </row>
    <row r="990" spans="1:4">
      <c r="A990" s="42" t="s">
        <v>1052</v>
      </c>
      <c r="B990">
        <f>IFERROR(FIND('Simulador IR 2025'!$I$29, A990), 0)</f>
        <v>1</v>
      </c>
      <c r="C990">
        <f>IF(B990&gt;0, MAX($C$2:C989)+1, "")</f>
        <v>988</v>
      </c>
      <c r="D990" t="str">
        <f t="shared" si="15"/>
        <v/>
      </c>
    </row>
    <row r="991" spans="1:4">
      <c r="A991" s="42" t="s">
        <v>1053</v>
      </c>
      <c r="B991">
        <f>IFERROR(FIND('Simulador IR 2025'!$I$29, A991), 0)</f>
        <v>1</v>
      </c>
      <c r="C991">
        <f>IF(B991&gt;0, MAX($C$2:C990)+1, "")</f>
        <v>989</v>
      </c>
      <c r="D991" t="str">
        <f t="shared" si="15"/>
        <v/>
      </c>
    </row>
    <row r="992" spans="1:4">
      <c r="A992" s="42" t="s">
        <v>1054</v>
      </c>
      <c r="B992">
        <f>IFERROR(FIND('Simulador IR 2025'!$I$29, A992), 0)</f>
        <v>1</v>
      </c>
      <c r="C992">
        <f>IF(B992&gt;0, MAX($C$2:C991)+1, "")</f>
        <v>990</v>
      </c>
      <c r="D992" t="str">
        <f t="shared" si="15"/>
        <v/>
      </c>
    </row>
    <row r="993" spans="1:4">
      <c r="A993" s="42" t="s">
        <v>1055</v>
      </c>
      <c r="B993">
        <f>IFERROR(FIND('Simulador IR 2025'!$I$29, A993), 0)</f>
        <v>1</v>
      </c>
      <c r="C993">
        <f>IF(B993&gt;0, MAX($C$2:C992)+1, "")</f>
        <v>991</v>
      </c>
      <c r="D993" t="str">
        <f t="shared" si="15"/>
        <v/>
      </c>
    </row>
    <row r="994" spans="1:4">
      <c r="A994" s="42" t="s">
        <v>1056</v>
      </c>
      <c r="B994">
        <f>IFERROR(FIND('Simulador IR 2025'!$I$29, A994), 0)</f>
        <v>1</v>
      </c>
      <c r="C994">
        <f>IF(B994&gt;0, MAX($C$2:C993)+1, "")</f>
        <v>992</v>
      </c>
      <c r="D994" t="str">
        <f t="shared" si="15"/>
        <v/>
      </c>
    </row>
    <row r="995" spans="1:4">
      <c r="A995" s="42" t="s">
        <v>1057</v>
      </c>
      <c r="B995">
        <f>IFERROR(FIND('Simulador IR 2025'!$I$29, A995), 0)</f>
        <v>1</v>
      </c>
      <c r="C995">
        <f>IF(B995&gt;0, MAX($C$2:C994)+1, "")</f>
        <v>993</v>
      </c>
      <c r="D995" t="str">
        <f t="shared" si="15"/>
        <v/>
      </c>
    </row>
    <row r="996" spans="1:4">
      <c r="A996" s="42" t="s">
        <v>1058</v>
      </c>
      <c r="B996">
        <f>IFERROR(FIND('Simulador IR 2025'!$I$29, A996), 0)</f>
        <v>1</v>
      </c>
      <c r="C996">
        <f>IF(B996&gt;0, MAX($C$2:C995)+1, "")</f>
        <v>994</v>
      </c>
      <c r="D996" t="str">
        <f t="shared" si="15"/>
        <v/>
      </c>
    </row>
    <row r="997" spans="1:4">
      <c r="A997" s="42" t="s">
        <v>1059</v>
      </c>
      <c r="B997">
        <f>IFERROR(FIND('Simulador IR 2025'!$I$29, A997), 0)</f>
        <v>1</v>
      </c>
      <c r="C997">
        <f>IF(B997&gt;0, MAX($C$2:C996)+1, "")</f>
        <v>995</v>
      </c>
      <c r="D997" t="str">
        <f t="shared" si="15"/>
        <v/>
      </c>
    </row>
    <row r="998" spans="1:4">
      <c r="A998" s="42" t="s">
        <v>1060</v>
      </c>
      <c r="B998">
        <f>IFERROR(FIND('Simulador IR 2025'!$I$29, A998), 0)</f>
        <v>1</v>
      </c>
      <c r="C998">
        <f>IF(B998&gt;0, MAX($C$2:C997)+1, "")</f>
        <v>996</v>
      </c>
      <c r="D998" t="str">
        <f t="shared" si="15"/>
        <v/>
      </c>
    </row>
    <row r="999" spans="1:4">
      <c r="A999" s="42" t="s">
        <v>1061</v>
      </c>
      <c r="B999">
        <f>IFERROR(FIND('Simulador IR 2025'!$I$29, A999), 0)</f>
        <v>1</v>
      </c>
      <c r="C999">
        <f>IF(B999&gt;0, MAX($C$2:C998)+1, "")</f>
        <v>997</v>
      </c>
      <c r="D999" t="str">
        <f t="shared" si="15"/>
        <v/>
      </c>
    </row>
    <row r="1000" spans="1:4">
      <c r="A1000" s="42" t="s">
        <v>1062</v>
      </c>
      <c r="B1000">
        <f>IFERROR(FIND('Simulador IR 2025'!$I$29, A1000), 0)</f>
        <v>1</v>
      </c>
      <c r="C1000">
        <f>IF(B1000&gt;0, MAX($C$2:C999)+1, "")</f>
        <v>998</v>
      </c>
      <c r="D1000" t="str">
        <f t="shared" si="15"/>
        <v/>
      </c>
    </row>
    <row r="1001" spans="1:4">
      <c r="A1001" s="42" t="s">
        <v>1063</v>
      </c>
      <c r="B1001">
        <f>IFERROR(FIND('Simulador IR 2025'!$I$29, A1001), 0)</f>
        <v>1</v>
      </c>
      <c r="C1001">
        <f>IF(B1001&gt;0, MAX($C$2:C1000)+1, "")</f>
        <v>999</v>
      </c>
      <c r="D1001" t="str">
        <f t="shared" si="15"/>
        <v/>
      </c>
    </row>
    <row r="1002" spans="1:4">
      <c r="A1002" s="42" t="s">
        <v>1064</v>
      </c>
      <c r="B1002">
        <f>IFERROR(FIND('Simulador IR 2025'!$I$29, A1002), 0)</f>
        <v>1</v>
      </c>
      <c r="C1002">
        <f>IF(B1002&gt;0, MAX($C$2:C1001)+1, "")</f>
        <v>1000</v>
      </c>
      <c r="D1002" t="str">
        <f t="shared" si="15"/>
        <v/>
      </c>
    </row>
    <row r="1003" spans="1:4">
      <c r="A1003" s="42" t="s">
        <v>1065</v>
      </c>
      <c r="B1003">
        <f>IFERROR(FIND('Simulador IR 2025'!$I$29, A1003), 0)</f>
        <v>1</v>
      </c>
      <c r="C1003">
        <f>IF(B1003&gt;0, MAX($C$2:C1002)+1, "")</f>
        <v>1001</v>
      </c>
      <c r="D1003" t="str">
        <f t="shared" si="15"/>
        <v/>
      </c>
    </row>
    <row r="1004" spans="1:4">
      <c r="A1004" s="42" t="s">
        <v>1066</v>
      </c>
      <c r="B1004">
        <f>IFERROR(FIND('Simulador IR 2025'!$I$29, A1004), 0)</f>
        <v>1</v>
      </c>
      <c r="C1004">
        <f>IF(B1004&gt;0, MAX($C$2:C1003)+1, "")</f>
        <v>1002</v>
      </c>
      <c r="D1004" t="str">
        <f t="shared" si="15"/>
        <v/>
      </c>
    </row>
    <row r="1005" spans="1:4">
      <c r="A1005" s="42" t="s">
        <v>1067</v>
      </c>
      <c r="B1005">
        <f>IFERROR(FIND('Simulador IR 2025'!$I$29, A1005), 0)</f>
        <v>1</v>
      </c>
      <c r="C1005">
        <f>IF(B1005&gt;0, MAX($C$2:C1004)+1, "")</f>
        <v>1003</v>
      </c>
      <c r="D1005" t="str">
        <f t="shared" si="15"/>
        <v/>
      </c>
    </row>
    <row r="1006" spans="1:4">
      <c r="A1006" s="42" t="s">
        <v>1068</v>
      </c>
      <c r="B1006">
        <f>IFERROR(FIND('Simulador IR 2025'!$I$29, A1006), 0)</f>
        <v>1</v>
      </c>
      <c r="C1006">
        <f>IF(B1006&gt;0, MAX($C$2:C1005)+1, "")</f>
        <v>1004</v>
      </c>
      <c r="D1006" t="str">
        <f t="shared" si="15"/>
        <v/>
      </c>
    </row>
    <row r="1007" spans="1:4">
      <c r="A1007" s="42" t="s">
        <v>1069</v>
      </c>
      <c r="B1007">
        <f>IFERROR(FIND('Simulador IR 2025'!$I$29, A1007), 0)</f>
        <v>1</v>
      </c>
      <c r="C1007">
        <f>IF(B1007&gt;0, MAX($C$2:C1006)+1, "")</f>
        <v>1005</v>
      </c>
      <c r="D1007" t="str">
        <f t="shared" si="15"/>
        <v/>
      </c>
    </row>
    <row r="1008" spans="1:4">
      <c r="A1008" s="42" t="s">
        <v>1070</v>
      </c>
      <c r="B1008">
        <f>IFERROR(FIND('Simulador IR 2025'!$I$29, A1008), 0)</f>
        <v>1</v>
      </c>
      <c r="C1008">
        <f>IF(B1008&gt;0, MAX($C$2:C1007)+1, "")</f>
        <v>1006</v>
      </c>
      <c r="D1008" t="str">
        <f t="shared" si="15"/>
        <v/>
      </c>
    </row>
    <row r="1009" spans="1:4">
      <c r="A1009" s="42" t="s">
        <v>1071</v>
      </c>
      <c r="B1009">
        <f>IFERROR(FIND('Simulador IR 2025'!$I$29, A1009), 0)</f>
        <v>1</v>
      </c>
      <c r="C1009">
        <f>IF(B1009&gt;0, MAX($C$2:C1008)+1, "")</f>
        <v>1007</v>
      </c>
      <c r="D1009" t="str">
        <f t="shared" si="15"/>
        <v/>
      </c>
    </row>
    <row r="1010" spans="1:4">
      <c r="A1010" s="42" t="s">
        <v>1072</v>
      </c>
      <c r="B1010">
        <f>IFERROR(FIND('Simulador IR 2025'!$I$29, A1010), 0)</f>
        <v>1</v>
      </c>
      <c r="C1010">
        <f>IF(B1010&gt;0, MAX($C$2:C1009)+1, "")</f>
        <v>1008</v>
      </c>
      <c r="D1010" t="str">
        <f t="shared" si="15"/>
        <v/>
      </c>
    </row>
    <row r="1011" spans="1:4">
      <c r="A1011" s="42" t="s">
        <v>1073</v>
      </c>
      <c r="B1011">
        <f>IFERROR(FIND('Simulador IR 2025'!$I$29, A1011), 0)</f>
        <v>1</v>
      </c>
      <c r="C1011">
        <f>IF(B1011&gt;0, MAX($C$2:C1010)+1, "")</f>
        <v>1009</v>
      </c>
      <c r="D1011" t="str">
        <f t="shared" si="15"/>
        <v/>
      </c>
    </row>
    <row r="1012" spans="1:4">
      <c r="A1012" s="42" t="s">
        <v>1074</v>
      </c>
      <c r="B1012">
        <f>IFERROR(FIND('Simulador IR 2025'!$I$29, A1012), 0)</f>
        <v>1</v>
      </c>
      <c r="C1012">
        <f>IF(B1012&gt;0, MAX($C$2:C1011)+1, "")</f>
        <v>1010</v>
      </c>
      <c r="D1012" t="str">
        <f t="shared" si="15"/>
        <v/>
      </c>
    </row>
    <row r="1013" spans="1:4">
      <c r="A1013" s="42" t="s">
        <v>1075</v>
      </c>
      <c r="B1013">
        <f>IFERROR(FIND('Simulador IR 2025'!$I$29, A1013), 0)</f>
        <v>1</v>
      </c>
      <c r="C1013">
        <f>IF(B1013&gt;0, MAX($C$2:C1012)+1, "")</f>
        <v>1011</v>
      </c>
      <c r="D1013" t="str">
        <f t="shared" si="15"/>
        <v/>
      </c>
    </row>
    <row r="1014" spans="1:4">
      <c r="A1014" s="42" t="s">
        <v>1076</v>
      </c>
      <c r="B1014">
        <f>IFERROR(FIND('Simulador IR 2025'!$I$29, A1014), 0)</f>
        <v>1</v>
      </c>
      <c r="C1014">
        <f>IF(B1014&gt;0, MAX($C$2:C1013)+1, "")</f>
        <v>1012</v>
      </c>
      <c r="D1014" t="str">
        <f t="shared" si="15"/>
        <v/>
      </c>
    </row>
    <row r="1015" spans="1:4">
      <c r="A1015" s="42" t="s">
        <v>1077</v>
      </c>
      <c r="B1015">
        <f>IFERROR(FIND('Simulador IR 2025'!$I$29, A1015), 0)</f>
        <v>1</v>
      </c>
      <c r="C1015">
        <f>IF(B1015&gt;0, MAX($C$2:C1014)+1, "")</f>
        <v>1013</v>
      </c>
      <c r="D1015" t="str">
        <f t="shared" si="15"/>
        <v/>
      </c>
    </row>
    <row r="1016" spans="1:4">
      <c r="A1016" s="42" t="s">
        <v>1078</v>
      </c>
      <c r="B1016">
        <f>IFERROR(FIND('Simulador IR 2025'!$I$29, A1016), 0)</f>
        <v>1</v>
      </c>
      <c r="C1016">
        <f>IF(B1016&gt;0, MAX($C$2:C1015)+1, "")</f>
        <v>1014</v>
      </c>
      <c r="D1016" t="str">
        <f t="shared" si="15"/>
        <v/>
      </c>
    </row>
    <row r="1017" spans="1:4">
      <c r="A1017" s="42" t="s">
        <v>1079</v>
      </c>
      <c r="B1017">
        <f>IFERROR(FIND('Simulador IR 2025'!$I$29, A1017), 0)</f>
        <v>1</v>
      </c>
      <c r="C1017">
        <f>IF(B1017&gt;0, MAX($C$2:C1016)+1, "")</f>
        <v>1015</v>
      </c>
      <c r="D1017" t="str">
        <f t="shared" si="15"/>
        <v/>
      </c>
    </row>
    <row r="1018" spans="1:4">
      <c r="A1018" s="42" t="s">
        <v>1080</v>
      </c>
      <c r="B1018">
        <f>IFERROR(FIND('Simulador IR 2025'!$I$29, A1018), 0)</f>
        <v>1</v>
      </c>
      <c r="C1018">
        <f>IF(B1018&gt;0, MAX($C$2:C1017)+1, "")</f>
        <v>1016</v>
      </c>
      <c r="D1018" t="str">
        <f t="shared" si="15"/>
        <v/>
      </c>
    </row>
    <row r="1019" spans="1:4">
      <c r="A1019" s="42" t="s">
        <v>1081</v>
      </c>
      <c r="B1019">
        <f>IFERROR(FIND('Simulador IR 2025'!$I$29, A1019), 0)</f>
        <v>1</v>
      </c>
      <c r="C1019">
        <f>IF(B1019&gt;0, MAX($C$2:C1018)+1, "")</f>
        <v>1017</v>
      </c>
      <c r="D1019" t="str">
        <f t="shared" si="15"/>
        <v/>
      </c>
    </row>
    <row r="1020" spans="1:4">
      <c r="A1020" s="42" t="s">
        <v>1082</v>
      </c>
      <c r="B1020">
        <f>IFERROR(FIND('Simulador IR 2025'!$I$29, A1020), 0)</f>
        <v>1</v>
      </c>
      <c r="C1020">
        <f>IF(B1020&gt;0, MAX($C$2:C1019)+1, "")</f>
        <v>1018</v>
      </c>
      <c r="D1020" t="str">
        <f t="shared" si="15"/>
        <v/>
      </c>
    </row>
    <row r="1021" spans="1:4">
      <c r="A1021" s="42" t="s">
        <v>1083</v>
      </c>
      <c r="B1021">
        <f>IFERROR(FIND('Simulador IR 2025'!$I$29, A1021), 0)</f>
        <v>1</v>
      </c>
      <c r="C1021">
        <f>IF(B1021&gt;0, MAX($C$2:C1020)+1, "")</f>
        <v>1019</v>
      </c>
      <c r="D1021" t="str">
        <f t="shared" si="15"/>
        <v/>
      </c>
    </row>
    <row r="1022" spans="1:4">
      <c r="A1022" s="42" t="s">
        <v>1084</v>
      </c>
      <c r="B1022">
        <f>IFERROR(FIND('Simulador IR 2025'!$I$29, A1022), 0)</f>
        <v>1</v>
      </c>
      <c r="C1022">
        <f>IF(B1022&gt;0, MAX($C$2:C1021)+1, "")</f>
        <v>1020</v>
      </c>
      <c r="D1022" t="str">
        <f t="shared" si="15"/>
        <v/>
      </c>
    </row>
    <row r="1023" spans="1:4">
      <c r="A1023" s="42" t="s">
        <v>1085</v>
      </c>
      <c r="B1023">
        <f>IFERROR(FIND('Simulador IR 2025'!$I$29, A1023), 0)</f>
        <v>1</v>
      </c>
      <c r="C1023">
        <f>IF(B1023&gt;0, MAX($C$2:C1022)+1, "")</f>
        <v>1021</v>
      </c>
      <c r="D1023" t="str">
        <f t="shared" si="15"/>
        <v/>
      </c>
    </row>
    <row r="1024" spans="1:4">
      <c r="A1024" s="42" t="s">
        <v>1086</v>
      </c>
      <c r="B1024">
        <f>IFERROR(FIND('Simulador IR 2025'!$I$29, A1024), 0)</f>
        <v>1</v>
      </c>
      <c r="C1024">
        <f>IF(B1024&gt;0, MAX($C$2:C1023)+1, "")</f>
        <v>1022</v>
      </c>
      <c r="D1024" t="str">
        <f t="shared" si="15"/>
        <v/>
      </c>
    </row>
    <row r="1025" spans="1:4">
      <c r="A1025" s="42" t="s">
        <v>1087</v>
      </c>
      <c r="B1025">
        <f>IFERROR(FIND('Simulador IR 2025'!$I$29, A1025), 0)</f>
        <v>1</v>
      </c>
      <c r="C1025">
        <f>IF(B1025&gt;0, MAX($C$2:C1024)+1, "")</f>
        <v>1023</v>
      </c>
      <c r="D1025" t="str">
        <f t="shared" si="15"/>
        <v/>
      </c>
    </row>
    <row r="1026" spans="1:4">
      <c r="A1026" s="42" t="s">
        <v>1088</v>
      </c>
      <c r="B1026">
        <f>IFERROR(FIND('Simulador IR 2025'!$I$29, A1026), 0)</f>
        <v>1</v>
      </c>
      <c r="C1026">
        <f>IF(B1026&gt;0, MAX($C$2:C1025)+1, "")</f>
        <v>1024</v>
      </c>
      <c r="D1026" t="str">
        <f t="shared" si="15"/>
        <v/>
      </c>
    </row>
    <row r="1027" spans="1:4">
      <c r="A1027" s="42" t="s">
        <v>1089</v>
      </c>
      <c r="B1027">
        <f>IFERROR(FIND('Simulador IR 2025'!$I$29, A1027), 0)</f>
        <v>1</v>
      </c>
      <c r="C1027">
        <f>IF(B1027&gt;0, MAX($C$2:C1026)+1, "")</f>
        <v>1025</v>
      </c>
      <c r="D1027" t="str">
        <f t="shared" si="15"/>
        <v/>
      </c>
    </row>
    <row r="1028" spans="1:4">
      <c r="A1028" s="42" t="s">
        <v>1090</v>
      </c>
      <c r="B1028">
        <f>IFERROR(FIND('Simulador IR 2025'!$I$29, A1028), 0)</f>
        <v>1</v>
      </c>
      <c r="C1028">
        <f>IF(B1028&gt;0, MAX($C$2:C1027)+1, "")</f>
        <v>1026</v>
      </c>
      <c r="D1028" t="str">
        <f t="shared" ref="D1028:D1091" si="16">IFERROR(VLOOKUP(ROW(A1026), $A$3:$C$2681, -2, FALSE), "")</f>
        <v/>
      </c>
    </row>
    <row r="1029" spans="1:4">
      <c r="A1029" s="42" t="s">
        <v>1091</v>
      </c>
      <c r="B1029">
        <f>IFERROR(FIND('Simulador IR 2025'!$I$29, A1029), 0)</f>
        <v>1</v>
      </c>
      <c r="C1029">
        <f>IF(B1029&gt;0, MAX($C$2:C1028)+1, "")</f>
        <v>1027</v>
      </c>
      <c r="D1029" t="str">
        <f t="shared" si="16"/>
        <v/>
      </c>
    </row>
    <row r="1030" spans="1:4">
      <c r="A1030" s="42" t="s">
        <v>1092</v>
      </c>
      <c r="B1030">
        <f>IFERROR(FIND('Simulador IR 2025'!$I$29, A1030), 0)</f>
        <v>1</v>
      </c>
      <c r="C1030">
        <f>IF(B1030&gt;0, MAX($C$2:C1029)+1, "")</f>
        <v>1028</v>
      </c>
      <c r="D1030" t="str">
        <f t="shared" si="16"/>
        <v/>
      </c>
    </row>
    <row r="1031" spans="1:4">
      <c r="A1031" s="42" t="s">
        <v>1093</v>
      </c>
      <c r="B1031">
        <f>IFERROR(FIND('Simulador IR 2025'!$I$29, A1031), 0)</f>
        <v>1</v>
      </c>
      <c r="C1031">
        <f>IF(B1031&gt;0, MAX($C$2:C1030)+1, "")</f>
        <v>1029</v>
      </c>
      <c r="D1031" t="str">
        <f t="shared" si="16"/>
        <v/>
      </c>
    </row>
    <row r="1032" spans="1:4">
      <c r="A1032" s="42" t="s">
        <v>1094</v>
      </c>
      <c r="B1032">
        <f>IFERROR(FIND('Simulador IR 2025'!$I$29, A1032), 0)</f>
        <v>1</v>
      </c>
      <c r="C1032">
        <f>IF(B1032&gt;0, MAX($C$2:C1031)+1, "")</f>
        <v>1030</v>
      </c>
      <c r="D1032" t="str">
        <f t="shared" si="16"/>
        <v/>
      </c>
    </row>
    <row r="1033" spans="1:4">
      <c r="A1033" s="42" t="s">
        <v>1095</v>
      </c>
      <c r="B1033">
        <f>IFERROR(FIND('Simulador IR 2025'!$I$29, A1033), 0)</f>
        <v>1</v>
      </c>
      <c r="C1033">
        <f>IF(B1033&gt;0, MAX($C$2:C1032)+1, "")</f>
        <v>1031</v>
      </c>
      <c r="D1033" t="str">
        <f t="shared" si="16"/>
        <v/>
      </c>
    </row>
    <row r="1034" spans="1:4">
      <c r="A1034" s="42" t="s">
        <v>1096</v>
      </c>
      <c r="B1034">
        <f>IFERROR(FIND('Simulador IR 2025'!$I$29, A1034), 0)</f>
        <v>1</v>
      </c>
      <c r="C1034">
        <f>IF(B1034&gt;0, MAX($C$2:C1033)+1, "")</f>
        <v>1032</v>
      </c>
      <c r="D1034" t="str">
        <f t="shared" si="16"/>
        <v/>
      </c>
    </row>
    <row r="1035" spans="1:4">
      <c r="A1035" s="42" t="s">
        <v>1097</v>
      </c>
      <c r="B1035">
        <f>IFERROR(FIND('Simulador IR 2025'!$I$29, A1035), 0)</f>
        <v>1</v>
      </c>
      <c r="C1035">
        <f>IF(B1035&gt;0, MAX($C$2:C1034)+1, "")</f>
        <v>1033</v>
      </c>
      <c r="D1035" t="str">
        <f t="shared" si="16"/>
        <v/>
      </c>
    </row>
    <row r="1036" spans="1:4">
      <c r="A1036" s="42" t="s">
        <v>1098</v>
      </c>
      <c r="B1036">
        <f>IFERROR(FIND('Simulador IR 2025'!$I$29, A1036), 0)</f>
        <v>1</v>
      </c>
      <c r="C1036">
        <f>IF(B1036&gt;0, MAX($C$2:C1035)+1, "")</f>
        <v>1034</v>
      </c>
      <c r="D1036" t="str">
        <f t="shared" si="16"/>
        <v/>
      </c>
    </row>
    <row r="1037" spans="1:4">
      <c r="A1037" s="42" t="s">
        <v>1099</v>
      </c>
      <c r="B1037">
        <f>IFERROR(FIND('Simulador IR 2025'!$I$29, A1037), 0)</f>
        <v>1</v>
      </c>
      <c r="C1037">
        <f>IF(B1037&gt;0, MAX($C$2:C1036)+1, "")</f>
        <v>1035</v>
      </c>
      <c r="D1037" t="str">
        <f t="shared" si="16"/>
        <v/>
      </c>
    </row>
    <row r="1038" spans="1:4">
      <c r="A1038" s="42" t="s">
        <v>1100</v>
      </c>
      <c r="B1038">
        <f>IFERROR(FIND('Simulador IR 2025'!$I$29, A1038), 0)</f>
        <v>1</v>
      </c>
      <c r="C1038">
        <f>IF(B1038&gt;0, MAX($C$2:C1037)+1, "")</f>
        <v>1036</v>
      </c>
      <c r="D1038" t="str">
        <f t="shared" si="16"/>
        <v/>
      </c>
    </row>
    <row r="1039" spans="1:4">
      <c r="A1039" s="42" t="s">
        <v>1101</v>
      </c>
      <c r="B1039">
        <f>IFERROR(FIND('Simulador IR 2025'!$I$29, A1039), 0)</f>
        <v>1</v>
      </c>
      <c r="C1039">
        <f>IF(B1039&gt;0, MAX($C$2:C1038)+1, "")</f>
        <v>1037</v>
      </c>
      <c r="D1039" t="str">
        <f t="shared" si="16"/>
        <v/>
      </c>
    </row>
    <row r="1040" spans="1:4">
      <c r="A1040" s="42" t="s">
        <v>1102</v>
      </c>
      <c r="B1040">
        <f>IFERROR(FIND('Simulador IR 2025'!$I$29, A1040), 0)</f>
        <v>1</v>
      </c>
      <c r="C1040">
        <f>IF(B1040&gt;0, MAX($C$2:C1039)+1, "")</f>
        <v>1038</v>
      </c>
      <c r="D1040" t="str">
        <f t="shared" si="16"/>
        <v/>
      </c>
    </row>
    <row r="1041" spans="1:4">
      <c r="A1041" s="42" t="s">
        <v>1103</v>
      </c>
      <c r="B1041">
        <f>IFERROR(FIND('Simulador IR 2025'!$I$29, A1041), 0)</f>
        <v>1</v>
      </c>
      <c r="C1041">
        <f>IF(B1041&gt;0, MAX($C$2:C1040)+1, "")</f>
        <v>1039</v>
      </c>
      <c r="D1041" t="str">
        <f t="shared" si="16"/>
        <v/>
      </c>
    </row>
    <row r="1042" spans="1:4">
      <c r="A1042" s="42" t="s">
        <v>1104</v>
      </c>
      <c r="B1042">
        <f>IFERROR(FIND('Simulador IR 2025'!$I$29, A1042), 0)</f>
        <v>1</v>
      </c>
      <c r="C1042">
        <f>IF(B1042&gt;0, MAX($C$2:C1041)+1, "")</f>
        <v>1040</v>
      </c>
      <c r="D1042" t="str">
        <f t="shared" si="16"/>
        <v/>
      </c>
    </row>
    <row r="1043" spans="1:4">
      <c r="A1043" s="42" t="s">
        <v>1105</v>
      </c>
      <c r="B1043">
        <f>IFERROR(FIND('Simulador IR 2025'!$I$29, A1043), 0)</f>
        <v>1</v>
      </c>
      <c r="C1043">
        <f>IF(B1043&gt;0, MAX($C$2:C1042)+1, "")</f>
        <v>1041</v>
      </c>
      <c r="D1043" t="str">
        <f t="shared" si="16"/>
        <v/>
      </c>
    </row>
    <row r="1044" spans="1:4">
      <c r="A1044" s="42" t="s">
        <v>1106</v>
      </c>
      <c r="B1044">
        <f>IFERROR(FIND('Simulador IR 2025'!$I$29, A1044), 0)</f>
        <v>1</v>
      </c>
      <c r="C1044">
        <f>IF(B1044&gt;0, MAX($C$2:C1043)+1, "")</f>
        <v>1042</v>
      </c>
      <c r="D1044" t="str">
        <f t="shared" si="16"/>
        <v/>
      </c>
    </row>
    <row r="1045" spans="1:4">
      <c r="A1045" s="42" t="s">
        <v>1107</v>
      </c>
      <c r="B1045">
        <f>IFERROR(FIND('Simulador IR 2025'!$I$29, A1045), 0)</f>
        <v>1</v>
      </c>
      <c r="C1045">
        <f>IF(B1045&gt;0, MAX($C$2:C1044)+1, "")</f>
        <v>1043</v>
      </c>
      <c r="D1045" t="str">
        <f t="shared" si="16"/>
        <v/>
      </c>
    </row>
    <row r="1046" spans="1:4">
      <c r="A1046" s="42" t="s">
        <v>1108</v>
      </c>
      <c r="B1046">
        <f>IFERROR(FIND('Simulador IR 2025'!$I$29, A1046), 0)</f>
        <v>1</v>
      </c>
      <c r="C1046">
        <f>IF(B1046&gt;0, MAX($C$2:C1045)+1, "")</f>
        <v>1044</v>
      </c>
      <c r="D1046" t="str">
        <f t="shared" si="16"/>
        <v/>
      </c>
    </row>
    <row r="1047" spans="1:4">
      <c r="A1047" s="42" t="s">
        <v>1109</v>
      </c>
      <c r="B1047">
        <f>IFERROR(FIND('Simulador IR 2025'!$I$29, A1047), 0)</f>
        <v>1</v>
      </c>
      <c r="C1047">
        <f>IF(B1047&gt;0, MAX($C$2:C1046)+1, "")</f>
        <v>1045</v>
      </c>
      <c r="D1047" t="str">
        <f t="shared" si="16"/>
        <v/>
      </c>
    </row>
    <row r="1048" spans="1:4">
      <c r="A1048" s="42" t="s">
        <v>1110</v>
      </c>
      <c r="B1048">
        <f>IFERROR(FIND('Simulador IR 2025'!$I$29, A1048), 0)</f>
        <v>1</v>
      </c>
      <c r="C1048">
        <f>IF(B1048&gt;0, MAX($C$2:C1047)+1, "")</f>
        <v>1046</v>
      </c>
      <c r="D1048" t="str">
        <f t="shared" si="16"/>
        <v/>
      </c>
    </row>
    <row r="1049" spans="1:4">
      <c r="A1049" s="42" t="s">
        <v>1111</v>
      </c>
      <c r="B1049">
        <f>IFERROR(FIND('Simulador IR 2025'!$I$29, A1049), 0)</f>
        <v>1</v>
      </c>
      <c r="C1049">
        <f>IF(B1049&gt;0, MAX($C$2:C1048)+1, "")</f>
        <v>1047</v>
      </c>
      <c r="D1049" t="str">
        <f t="shared" si="16"/>
        <v/>
      </c>
    </row>
    <row r="1050" spans="1:4">
      <c r="A1050" s="42" t="s">
        <v>1112</v>
      </c>
      <c r="B1050">
        <f>IFERROR(FIND('Simulador IR 2025'!$I$29, A1050), 0)</f>
        <v>1</v>
      </c>
      <c r="C1050">
        <f>IF(B1050&gt;0, MAX($C$2:C1049)+1, "")</f>
        <v>1048</v>
      </c>
      <c r="D1050" t="str">
        <f t="shared" si="16"/>
        <v/>
      </c>
    </row>
    <row r="1051" spans="1:4">
      <c r="A1051" s="42" t="s">
        <v>1113</v>
      </c>
      <c r="B1051">
        <f>IFERROR(FIND('Simulador IR 2025'!$I$29, A1051), 0)</f>
        <v>1</v>
      </c>
      <c r="C1051">
        <f>IF(B1051&gt;0, MAX($C$2:C1050)+1, "")</f>
        <v>1049</v>
      </c>
      <c r="D1051" t="str">
        <f t="shared" si="16"/>
        <v/>
      </c>
    </row>
    <row r="1052" spans="1:4">
      <c r="A1052" s="42" t="s">
        <v>1114</v>
      </c>
      <c r="B1052">
        <f>IFERROR(FIND('Simulador IR 2025'!$I$29, A1052), 0)</f>
        <v>1</v>
      </c>
      <c r="C1052">
        <f>IF(B1052&gt;0, MAX($C$2:C1051)+1, "")</f>
        <v>1050</v>
      </c>
      <c r="D1052" t="str">
        <f t="shared" si="16"/>
        <v/>
      </c>
    </row>
    <row r="1053" spans="1:4">
      <c r="A1053" s="42" t="s">
        <v>1115</v>
      </c>
      <c r="B1053">
        <f>IFERROR(FIND('Simulador IR 2025'!$I$29, A1053), 0)</f>
        <v>1</v>
      </c>
      <c r="C1053">
        <f>IF(B1053&gt;0, MAX($C$2:C1052)+1, "")</f>
        <v>1051</v>
      </c>
      <c r="D1053" t="str">
        <f t="shared" si="16"/>
        <v/>
      </c>
    </row>
    <row r="1054" spans="1:4">
      <c r="A1054" s="42" t="s">
        <v>1116</v>
      </c>
      <c r="B1054">
        <f>IFERROR(FIND('Simulador IR 2025'!$I$29, A1054), 0)</f>
        <v>1</v>
      </c>
      <c r="C1054">
        <f>IF(B1054&gt;0, MAX($C$2:C1053)+1, "")</f>
        <v>1052</v>
      </c>
      <c r="D1054" t="str">
        <f t="shared" si="16"/>
        <v/>
      </c>
    </row>
    <row r="1055" spans="1:4">
      <c r="A1055" s="42" t="s">
        <v>1117</v>
      </c>
      <c r="B1055">
        <f>IFERROR(FIND('Simulador IR 2025'!$I$29, A1055), 0)</f>
        <v>1</v>
      </c>
      <c r="C1055">
        <f>IF(B1055&gt;0, MAX($C$2:C1054)+1, "")</f>
        <v>1053</v>
      </c>
      <c r="D1055" t="str">
        <f t="shared" si="16"/>
        <v/>
      </c>
    </row>
    <row r="1056" spans="1:4">
      <c r="A1056" s="42" t="s">
        <v>1118</v>
      </c>
      <c r="B1056">
        <f>IFERROR(FIND('Simulador IR 2025'!$I$29, A1056), 0)</f>
        <v>1</v>
      </c>
      <c r="C1056">
        <f>IF(B1056&gt;0, MAX($C$2:C1055)+1, "")</f>
        <v>1054</v>
      </c>
      <c r="D1056" t="str">
        <f t="shared" si="16"/>
        <v/>
      </c>
    </row>
    <row r="1057" spans="1:4">
      <c r="A1057" s="42" t="s">
        <v>1119</v>
      </c>
      <c r="B1057">
        <f>IFERROR(FIND('Simulador IR 2025'!$I$29, A1057), 0)</f>
        <v>1</v>
      </c>
      <c r="C1057">
        <f>IF(B1057&gt;0, MAX($C$2:C1056)+1, "")</f>
        <v>1055</v>
      </c>
      <c r="D1057" t="str">
        <f t="shared" si="16"/>
        <v/>
      </c>
    </row>
    <row r="1058" spans="1:4">
      <c r="A1058" s="42" t="s">
        <v>1120</v>
      </c>
      <c r="B1058">
        <f>IFERROR(FIND('Simulador IR 2025'!$I$29, A1058), 0)</f>
        <v>1</v>
      </c>
      <c r="C1058">
        <f>IF(B1058&gt;0, MAX($C$2:C1057)+1, "")</f>
        <v>1056</v>
      </c>
      <c r="D1058" t="str">
        <f t="shared" si="16"/>
        <v/>
      </c>
    </row>
    <row r="1059" spans="1:4">
      <c r="A1059" s="42" t="s">
        <v>1121</v>
      </c>
      <c r="B1059">
        <f>IFERROR(FIND('Simulador IR 2025'!$I$29, A1059), 0)</f>
        <v>1</v>
      </c>
      <c r="C1059">
        <f>IF(B1059&gt;0, MAX($C$2:C1058)+1, "")</f>
        <v>1057</v>
      </c>
      <c r="D1059" t="str">
        <f t="shared" si="16"/>
        <v/>
      </c>
    </row>
    <row r="1060" spans="1:4">
      <c r="A1060" s="42" t="s">
        <v>1122</v>
      </c>
      <c r="B1060">
        <f>IFERROR(FIND('Simulador IR 2025'!$I$29, A1060), 0)</f>
        <v>1</v>
      </c>
      <c r="C1060">
        <f>IF(B1060&gt;0, MAX($C$2:C1059)+1, "")</f>
        <v>1058</v>
      </c>
      <c r="D1060" t="str">
        <f t="shared" si="16"/>
        <v/>
      </c>
    </row>
    <row r="1061" spans="1:4">
      <c r="A1061" s="42" t="s">
        <v>1123</v>
      </c>
      <c r="B1061">
        <f>IFERROR(FIND('Simulador IR 2025'!$I$29, A1061), 0)</f>
        <v>1</v>
      </c>
      <c r="C1061">
        <f>IF(B1061&gt;0, MAX($C$2:C1060)+1, "")</f>
        <v>1059</v>
      </c>
      <c r="D1061" t="str">
        <f t="shared" si="16"/>
        <v/>
      </c>
    </row>
    <row r="1062" spans="1:4">
      <c r="A1062" s="42" t="s">
        <v>1124</v>
      </c>
      <c r="B1062">
        <f>IFERROR(FIND('Simulador IR 2025'!$I$29, A1062), 0)</f>
        <v>1</v>
      </c>
      <c r="C1062">
        <f>IF(B1062&gt;0, MAX($C$2:C1061)+1, "")</f>
        <v>1060</v>
      </c>
      <c r="D1062" t="str">
        <f t="shared" si="16"/>
        <v/>
      </c>
    </row>
    <row r="1063" spans="1:4">
      <c r="A1063" s="42" t="s">
        <v>1125</v>
      </c>
      <c r="B1063">
        <f>IFERROR(FIND('Simulador IR 2025'!$I$29, A1063), 0)</f>
        <v>1</v>
      </c>
      <c r="C1063">
        <f>IF(B1063&gt;0, MAX($C$2:C1062)+1, "")</f>
        <v>1061</v>
      </c>
      <c r="D1063" t="str">
        <f t="shared" si="16"/>
        <v/>
      </c>
    </row>
    <row r="1064" spans="1:4">
      <c r="A1064" s="42" t="s">
        <v>1126</v>
      </c>
      <c r="B1064">
        <f>IFERROR(FIND('Simulador IR 2025'!$I$29, A1064), 0)</f>
        <v>1</v>
      </c>
      <c r="C1064">
        <f>IF(B1064&gt;0, MAX($C$2:C1063)+1, "")</f>
        <v>1062</v>
      </c>
      <c r="D1064" t="str">
        <f t="shared" si="16"/>
        <v/>
      </c>
    </row>
    <row r="1065" spans="1:4">
      <c r="A1065" s="42" t="s">
        <v>1127</v>
      </c>
      <c r="B1065">
        <f>IFERROR(FIND('Simulador IR 2025'!$I$29, A1065), 0)</f>
        <v>1</v>
      </c>
      <c r="C1065">
        <f>IF(B1065&gt;0, MAX($C$2:C1064)+1, "")</f>
        <v>1063</v>
      </c>
      <c r="D1065" t="str">
        <f t="shared" si="16"/>
        <v/>
      </c>
    </row>
    <row r="1066" spans="1:4">
      <c r="A1066" s="42" t="s">
        <v>1128</v>
      </c>
      <c r="B1066">
        <f>IFERROR(FIND('Simulador IR 2025'!$I$29, A1066), 0)</f>
        <v>1</v>
      </c>
      <c r="C1066">
        <f>IF(B1066&gt;0, MAX($C$2:C1065)+1, "")</f>
        <v>1064</v>
      </c>
      <c r="D1066" t="str">
        <f t="shared" si="16"/>
        <v/>
      </c>
    </row>
    <row r="1067" spans="1:4">
      <c r="A1067" s="42" t="s">
        <v>1129</v>
      </c>
      <c r="B1067">
        <f>IFERROR(FIND('Simulador IR 2025'!$I$29, A1067), 0)</f>
        <v>1</v>
      </c>
      <c r="C1067">
        <f>IF(B1067&gt;0, MAX($C$2:C1066)+1, "")</f>
        <v>1065</v>
      </c>
      <c r="D1067" t="str">
        <f t="shared" si="16"/>
        <v/>
      </c>
    </row>
    <row r="1068" spans="1:4">
      <c r="A1068" s="42" t="s">
        <v>1130</v>
      </c>
      <c r="B1068">
        <f>IFERROR(FIND('Simulador IR 2025'!$I$29, A1068), 0)</f>
        <v>1</v>
      </c>
      <c r="C1068">
        <f>IF(B1068&gt;0, MAX($C$2:C1067)+1, "")</f>
        <v>1066</v>
      </c>
      <c r="D1068" t="str">
        <f t="shared" si="16"/>
        <v/>
      </c>
    </row>
    <row r="1069" spans="1:4">
      <c r="A1069" s="42" t="s">
        <v>1131</v>
      </c>
      <c r="B1069">
        <f>IFERROR(FIND('Simulador IR 2025'!$I$29, A1069), 0)</f>
        <v>1</v>
      </c>
      <c r="C1069">
        <f>IF(B1069&gt;0, MAX($C$2:C1068)+1, "")</f>
        <v>1067</v>
      </c>
      <c r="D1069" t="str">
        <f t="shared" si="16"/>
        <v/>
      </c>
    </row>
    <row r="1070" spans="1:4">
      <c r="A1070" s="42" t="s">
        <v>1132</v>
      </c>
      <c r="B1070">
        <f>IFERROR(FIND('Simulador IR 2025'!$I$29, A1070), 0)</f>
        <v>1</v>
      </c>
      <c r="C1070">
        <f>IF(B1070&gt;0, MAX($C$2:C1069)+1, "")</f>
        <v>1068</v>
      </c>
      <c r="D1070" t="str">
        <f t="shared" si="16"/>
        <v/>
      </c>
    </row>
    <row r="1071" spans="1:4">
      <c r="A1071" s="42" t="s">
        <v>1133</v>
      </c>
      <c r="B1071">
        <f>IFERROR(FIND('Simulador IR 2025'!$I$29, A1071), 0)</f>
        <v>1</v>
      </c>
      <c r="C1071">
        <f>IF(B1071&gt;0, MAX($C$2:C1070)+1, "")</f>
        <v>1069</v>
      </c>
      <c r="D1071" t="str">
        <f t="shared" si="16"/>
        <v/>
      </c>
    </row>
    <row r="1072" spans="1:4">
      <c r="A1072" s="42" t="s">
        <v>1134</v>
      </c>
      <c r="B1072">
        <f>IFERROR(FIND('Simulador IR 2025'!$I$29, A1072), 0)</f>
        <v>1</v>
      </c>
      <c r="C1072">
        <f>IF(B1072&gt;0, MAX($C$2:C1071)+1, "")</f>
        <v>1070</v>
      </c>
      <c r="D1072" t="str">
        <f t="shared" si="16"/>
        <v/>
      </c>
    </row>
    <row r="1073" spans="1:4">
      <c r="A1073" s="42" t="s">
        <v>1135</v>
      </c>
      <c r="B1073">
        <f>IFERROR(FIND('Simulador IR 2025'!$I$29, A1073), 0)</f>
        <v>1</v>
      </c>
      <c r="C1073">
        <f>IF(B1073&gt;0, MAX($C$2:C1072)+1, "")</f>
        <v>1071</v>
      </c>
      <c r="D1073" t="str">
        <f t="shared" si="16"/>
        <v/>
      </c>
    </row>
    <row r="1074" spans="1:4">
      <c r="A1074" s="42" t="s">
        <v>1136</v>
      </c>
      <c r="B1074">
        <f>IFERROR(FIND('Simulador IR 2025'!$I$29, A1074), 0)</f>
        <v>1</v>
      </c>
      <c r="C1074">
        <f>IF(B1074&gt;0, MAX($C$2:C1073)+1, "")</f>
        <v>1072</v>
      </c>
      <c r="D1074" t="str">
        <f t="shared" si="16"/>
        <v/>
      </c>
    </row>
    <row r="1075" spans="1:4">
      <c r="A1075" s="42" t="s">
        <v>1137</v>
      </c>
      <c r="B1075">
        <f>IFERROR(FIND('Simulador IR 2025'!$I$29, A1075), 0)</f>
        <v>1</v>
      </c>
      <c r="C1075">
        <f>IF(B1075&gt;0, MAX($C$2:C1074)+1, "")</f>
        <v>1073</v>
      </c>
      <c r="D1075" t="str">
        <f t="shared" si="16"/>
        <v/>
      </c>
    </row>
    <row r="1076" spans="1:4">
      <c r="A1076" s="42" t="s">
        <v>1138</v>
      </c>
      <c r="B1076">
        <f>IFERROR(FIND('Simulador IR 2025'!$I$29, A1076), 0)</f>
        <v>1</v>
      </c>
      <c r="C1076">
        <f>IF(B1076&gt;0, MAX($C$2:C1075)+1, "")</f>
        <v>1074</v>
      </c>
      <c r="D1076" t="str">
        <f t="shared" si="16"/>
        <v/>
      </c>
    </row>
    <row r="1077" spans="1:4">
      <c r="A1077" s="42" t="s">
        <v>1139</v>
      </c>
      <c r="B1077">
        <f>IFERROR(FIND('Simulador IR 2025'!$I$29, A1077), 0)</f>
        <v>1</v>
      </c>
      <c r="C1077">
        <f>IF(B1077&gt;0, MAX($C$2:C1076)+1, "")</f>
        <v>1075</v>
      </c>
      <c r="D1077" t="str">
        <f t="shared" si="16"/>
        <v/>
      </c>
    </row>
    <row r="1078" spans="1:4">
      <c r="A1078" s="42" t="s">
        <v>1140</v>
      </c>
      <c r="B1078">
        <f>IFERROR(FIND('Simulador IR 2025'!$I$29, A1078), 0)</f>
        <v>1</v>
      </c>
      <c r="C1078">
        <f>IF(B1078&gt;0, MAX($C$2:C1077)+1, "")</f>
        <v>1076</v>
      </c>
      <c r="D1078" t="str">
        <f t="shared" si="16"/>
        <v/>
      </c>
    </row>
    <row r="1079" spans="1:4">
      <c r="A1079" s="42" t="s">
        <v>1141</v>
      </c>
      <c r="B1079">
        <f>IFERROR(FIND('Simulador IR 2025'!$I$29, A1079), 0)</f>
        <v>1</v>
      </c>
      <c r="C1079">
        <f>IF(B1079&gt;0, MAX($C$2:C1078)+1, "")</f>
        <v>1077</v>
      </c>
      <c r="D1079" t="str">
        <f t="shared" si="16"/>
        <v/>
      </c>
    </row>
    <row r="1080" spans="1:4">
      <c r="A1080" s="42" t="s">
        <v>1142</v>
      </c>
      <c r="B1080">
        <f>IFERROR(FIND('Simulador IR 2025'!$I$29, A1080), 0)</f>
        <v>1</v>
      </c>
      <c r="C1080">
        <f>IF(B1080&gt;0, MAX($C$2:C1079)+1, "")</f>
        <v>1078</v>
      </c>
      <c r="D1080" t="str">
        <f t="shared" si="16"/>
        <v/>
      </c>
    </row>
    <row r="1081" spans="1:4">
      <c r="A1081" s="42" t="s">
        <v>1143</v>
      </c>
      <c r="B1081">
        <f>IFERROR(FIND('Simulador IR 2025'!$I$29, A1081), 0)</f>
        <v>1</v>
      </c>
      <c r="C1081">
        <f>IF(B1081&gt;0, MAX($C$2:C1080)+1, "")</f>
        <v>1079</v>
      </c>
      <c r="D1081" t="str">
        <f t="shared" si="16"/>
        <v/>
      </c>
    </row>
    <row r="1082" spans="1:4">
      <c r="A1082" s="42" t="s">
        <v>1144</v>
      </c>
      <c r="B1082">
        <f>IFERROR(FIND('Simulador IR 2025'!$I$29, A1082), 0)</f>
        <v>1</v>
      </c>
      <c r="C1082">
        <f>IF(B1082&gt;0, MAX($C$2:C1081)+1, "")</f>
        <v>1080</v>
      </c>
      <c r="D1082" t="str">
        <f t="shared" si="16"/>
        <v/>
      </c>
    </row>
    <row r="1083" spans="1:4">
      <c r="A1083" s="42" t="s">
        <v>1145</v>
      </c>
      <c r="B1083">
        <f>IFERROR(FIND('Simulador IR 2025'!$I$29, A1083), 0)</f>
        <v>1</v>
      </c>
      <c r="C1083">
        <f>IF(B1083&gt;0, MAX($C$2:C1082)+1, "")</f>
        <v>1081</v>
      </c>
      <c r="D1083" t="str">
        <f t="shared" si="16"/>
        <v/>
      </c>
    </row>
    <row r="1084" spans="1:4">
      <c r="A1084" s="42" t="s">
        <v>1146</v>
      </c>
      <c r="B1084">
        <f>IFERROR(FIND('Simulador IR 2025'!$I$29, A1084), 0)</f>
        <v>1</v>
      </c>
      <c r="C1084">
        <f>IF(B1084&gt;0, MAX($C$2:C1083)+1, "")</f>
        <v>1082</v>
      </c>
      <c r="D1084" t="str">
        <f t="shared" si="16"/>
        <v/>
      </c>
    </row>
    <row r="1085" spans="1:4">
      <c r="A1085" s="42" t="s">
        <v>1147</v>
      </c>
      <c r="B1085">
        <f>IFERROR(FIND('Simulador IR 2025'!$I$29, A1085), 0)</f>
        <v>1</v>
      </c>
      <c r="C1085">
        <f>IF(B1085&gt;0, MAX($C$2:C1084)+1, "")</f>
        <v>1083</v>
      </c>
      <c r="D1085" t="str">
        <f t="shared" si="16"/>
        <v/>
      </c>
    </row>
    <row r="1086" spans="1:4">
      <c r="A1086" s="42" t="s">
        <v>1148</v>
      </c>
      <c r="B1086">
        <f>IFERROR(FIND('Simulador IR 2025'!$I$29, A1086), 0)</f>
        <v>1</v>
      </c>
      <c r="C1086">
        <f>IF(B1086&gt;0, MAX($C$2:C1085)+1, "")</f>
        <v>1084</v>
      </c>
      <c r="D1086" t="str">
        <f t="shared" si="16"/>
        <v/>
      </c>
    </row>
    <row r="1087" spans="1:4">
      <c r="A1087" s="42" t="s">
        <v>1149</v>
      </c>
      <c r="B1087">
        <f>IFERROR(FIND('Simulador IR 2025'!$I$29, A1087), 0)</f>
        <v>1</v>
      </c>
      <c r="C1087">
        <f>IF(B1087&gt;0, MAX($C$2:C1086)+1, "")</f>
        <v>1085</v>
      </c>
      <c r="D1087" t="str">
        <f t="shared" si="16"/>
        <v/>
      </c>
    </row>
    <row r="1088" spans="1:4">
      <c r="A1088" s="42" t="s">
        <v>1150</v>
      </c>
      <c r="B1088">
        <f>IFERROR(FIND('Simulador IR 2025'!$I$29, A1088), 0)</f>
        <v>1</v>
      </c>
      <c r="C1088">
        <f>IF(B1088&gt;0, MAX($C$2:C1087)+1, "")</f>
        <v>1086</v>
      </c>
      <c r="D1088" t="str">
        <f t="shared" si="16"/>
        <v/>
      </c>
    </row>
    <row r="1089" spans="1:4">
      <c r="A1089" s="42" t="s">
        <v>1151</v>
      </c>
      <c r="B1089">
        <f>IFERROR(FIND('Simulador IR 2025'!$I$29, A1089), 0)</f>
        <v>1</v>
      </c>
      <c r="C1089">
        <f>IF(B1089&gt;0, MAX($C$2:C1088)+1, "")</f>
        <v>1087</v>
      </c>
      <c r="D1089" t="str">
        <f t="shared" si="16"/>
        <v/>
      </c>
    </row>
    <row r="1090" spans="1:4">
      <c r="A1090" s="42" t="s">
        <v>1152</v>
      </c>
      <c r="B1090">
        <f>IFERROR(FIND('Simulador IR 2025'!$I$29, A1090), 0)</f>
        <v>1</v>
      </c>
      <c r="C1090">
        <f>IF(B1090&gt;0, MAX($C$2:C1089)+1, "")</f>
        <v>1088</v>
      </c>
      <c r="D1090" t="str">
        <f t="shared" si="16"/>
        <v/>
      </c>
    </row>
    <row r="1091" spans="1:4">
      <c r="A1091" s="42" t="s">
        <v>1153</v>
      </c>
      <c r="B1091">
        <f>IFERROR(FIND('Simulador IR 2025'!$I$29, A1091), 0)</f>
        <v>1</v>
      </c>
      <c r="C1091">
        <f>IF(B1091&gt;0, MAX($C$2:C1090)+1, "")</f>
        <v>1089</v>
      </c>
      <c r="D1091" t="str">
        <f t="shared" si="16"/>
        <v/>
      </c>
    </row>
    <row r="1092" spans="1:4">
      <c r="A1092" s="42" t="s">
        <v>1154</v>
      </c>
      <c r="B1092">
        <f>IFERROR(FIND('Simulador IR 2025'!$I$29, A1092), 0)</f>
        <v>1</v>
      </c>
      <c r="C1092">
        <f>IF(B1092&gt;0, MAX($C$2:C1091)+1, "")</f>
        <v>1090</v>
      </c>
      <c r="D1092" t="str">
        <f t="shared" ref="D1092:D1155" si="17">IFERROR(VLOOKUP(ROW(A1090), $A$3:$C$2681, -2, FALSE), "")</f>
        <v/>
      </c>
    </row>
    <row r="1093" spans="1:4">
      <c r="A1093" s="42" t="s">
        <v>1155</v>
      </c>
      <c r="B1093">
        <f>IFERROR(FIND('Simulador IR 2025'!$I$29, A1093), 0)</f>
        <v>1</v>
      </c>
      <c r="C1093">
        <f>IF(B1093&gt;0, MAX($C$2:C1092)+1, "")</f>
        <v>1091</v>
      </c>
      <c r="D1093" t="str">
        <f t="shared" si="17"/>
        <v/>
      </c>
    </row>
    <row r="1094" spans="1:4">
      <c r="A1094" s="42" t="s">
        <v>1156</v>
      </c>
      <c r="B1094">
        <f>IFERROR(FIND('Simulador IR 2025'!$I$29, A1094), 0)</f>
        <v>1</v>
      </c>
      <c r="C1094">
        <f>IF(B1094&gt;0, MAX($C$2:C1093)+1, "")</f>
        <v>1092</v>
      </c>
      <c r="D1094" t="str">
        <f t="shared" si="17"/>
        <v/>
      </c>
    </row>
    <row r="1095" spans="1:4">
      <c r="A1095" s="42" t="s">
        <v>1157</v>
      </c>
      <c r="B1095">
        <f>IFERROR(FIND('Simulador IR 2025'!$I$29, A1095), 0)</f>
        <v>1</v>
      </c>
      <c r="C1095">
        <f>IF(B1095&gt;0, MAX($C$2:C1094)+1, "")</f>
        <v>1093</v>
      </c>
      <c r="D1095" t="str">
        <f t="shared" si="17"/>
        <v/>
      </c>
    </row>
    <row r="1096" spans="1:4">
      <c r="A1096" s="42" t="s">
        <v>1158</v>
      </c>
      <c r="B1096">
        <f>IFERROR(FIND('Simulador IR 2025'!$I$29, A1096), 0)</f>
        <v>1</v>
      </c>
      <c r="C1096">
        <f>IF(B1096&gt;0, MAX($C$2:C1095)+1, "")</f>
        <v>1094</v>
      </c>
      <c r="D1096" t="str">
        <f t="shared" si="17"/>
        <v/>
      </c>
    </row>
    <row r="1097" spans="1:4">
      <c r="A1097" s="42" t="s">
        <v>1159</v>
      </c>
      <c r="B1097">
        <f>IFERROR(FIND('Simulador IR 2025'!$I$29, A1097), 0)</f>
        <v>1</v>
      </c>
      <c r="C1097">
        <f>IF(B1097&gt;0, MAX($C$2:C1096)+1, "")</f>
        <v>1095</v>
      </c>
      <c r="D1097" t="str">
        <f t="shared" si="17"/>
        <v/>
      </c>
    </row>
    <row r="1098" spans="1:4">
      <c r="A1098" s="42" t="s">
        <v>1160</v>
      </c>
      <c r="B1098">
        <f>IFERROR(FIND('Simulador IR 2025'!$I$29, A1098), 0)</f>
        <v>1</v>
      </c>
      <c r="C1098">
        <f>IF(B1098&gt;0, MAX($C$2:C1097)+1, "")</f>
        <v>1096</v>
      </c>
      <c r="D1098" t="str">
        <f t="shared" si="17"/>
        <v/>
      </c>
    </row>
    <row r="1099" spans="1:4">
      <c r="A1099" s="42" t="s">
        <v>1161</v>
      </c>
      <c r="B1099">
        <f>IFERROR(FIND('Simulador IR 2025'!$I$29, A1099), 0)</f>
        <v>1</v>
      </c>
      <c r="C1099">
        <f>IF(B1099&gt;0, MAX($C$2:C1098)+1, "")</f>
        <v>1097</v>
      </c>
      <c r="D1099" t="str">
        <f t="shared" si="17"/>
        <v/>
      </c>
    </row>
    <row r="1100" spans="1:4">
      <c r="A1100" s="42" t="s">
        <v>1162</v>
      </c>
      <c r="B1100">
        <f>IFERROR(FIND('Simulador IR 2025'!$I$29, A1100), 0)</f>
        <v>1</v>
      </c>
      <c r="C1100">
        <f>IF(B1100&gt;0, MAX($C$2:C1099)+1, "")</f>
        <v>1098</v>
      </c>
      <c r="D1100" t="str">
        <f t="shared" si="17"/>
        <v/>
      </c>
    </row>
    <row r="1101" spans="1:4">
      <c r="A1101" s="42" t="s">
        <v>1163</v>
      </c>
      <c r="B1101">
        <f>IFERROR(FIND('Simulador IR 2025'!$I$29, A1101), 0)</f>
        <v>1</v>
      </c>
      <c r="C1101">
        <f>IF(B1101&gt;0, MAX($C$2:C1100)+1, "")</f>
        <v>1099</v>
      </c>
      <c r="D1101" t="str">
        <f t="shared" si="17"/>
        <v/>
      </c>
    </row>
    <row r="1102" spans="1:4">
      <c r="A1102" s="42" t="s">
        <v>1164</v>
      </c>
      <c r="B1102">
        <f>IFERROR(FIND('Simulador IR 2025'!$I$29, A1102), 0)</f>
        <v>1</v>
      </c>
      <c r="C1102">
        <f>IF(B1102&gt;0, MAX($C$2:C1101)+1, "")</f>
        <v>1100</v>
      </c>
      <c r="D1102" t="str">
        <f t="shared" si="17"/>
        <v/>
      </c>
    </row>
    <row r="1103" spans="1:4">
      <c r="A1103" s="42" t="s">
        <v>1165</v>
      </c>
      <c r="B1103">
        <f>IFERROR(FIND('Simulador IR 2025'!$I$29, A1103), 0)</f>
        <v>1</v>
      </c>
      <c r="C1103">
        <f>IF(B1103&gt;0, MAX($C$2:C1102)+1, "")</f>
        <v>1101</v>
      </c>
      <c r="D1103" t="str">
        <f t="shared" si="17"/>
        <v/>
      </c>
    </row>
    <row r="1104" spans="1:4">
      <c r="A1104" s="42" t="s">
        <v>1166</v>
      </c>
      <c r="B1104">
        <f>IFERROR(FIND('Simulador IR 2025'!$I$29, A1104), 0)</f>
        <v>1</v>
      </c>
      <c r="C1104">
        <f>IF(B1104&gt;0, MAX($C$2:C1103)+1, "")</f>
        <v>1102</v>
      </c>
      <c r="D1104" t="str">
        <f t="shared" si="17"/>
        <v/>
      </c>
    </row>
    <row r="1105" spans="1:4">
      <c r="A1105" s="42" t="s">
        <v>1167</v>
      </c>
      <c r="B1105">
        <f>IFERROR(FIND('Simulador IR 2025'!$I$29, A1105), 0)</f>
        <v>1</v>
      </c>
      <c r="C1105">
        <f>IF(B1105&gt;0, MAX($C$2:C1104)+1, "")</f>
        <v>1103</v>
      </c>
      <c r="D1105" t="str">
        <f t="shared" si="17"/>
        <v/>
      </c>
    </row>
    <row r="1106" spans="1:4">
      <c r="A1106" s="42" t="s">
        <v>1168</v>
      </c>
      <c r="B1106">
        <f>IFERROR(FIND('Simulador IR 2025'!$I$29, A1106), 0)</f>
        <v>1</v>
      </c>
      <c r="C1106">
        <f>IF(B1106&gt;0, MAX($C$2:C1105)+1, "")</f>
        <v>1104</v>
      </c>
      <c r="D1106" t="str">
        <f t="shared" si="17"/>
        <v/>
      </c>
    </row>
    <row r="1107" spans="1:4">
      <c r="A1107" s="42" t="s">
        <v>1169</v>
      </c>
      <c r="B1107">
        <f>IFERROR(FIND('Simulador IR 2025'!$I$29, A1107), 0)</f>
        <v>1</v>
      </c>
      <c r="C1107">
        <f>IF(B1107&gt;0, MAX($C$2:C1106)+1, "")</f>
        <v>1105</v>
      </c>
      <c r="D1107" t="str">
        <f t="shared" si="17"/>
        <v/>
      </c>
    </row>
    <row r="1108" spans="1:4">
      <c r="A1108" s="42" t="s">
        <v>1170</v>
      </c>
      <c r="B1108">
        <f>IFERROR(FIND('Simulador IR 2025'!$I$29, A1108), 0)</f>
        <v>1</v>
      </c>
      <c r="C1108">
        <f>IF(B1108&gt;0, MAX($C$2:C1107)+1, "")</f>
        <v>1106</v>
      </c>
      <c r="D1108" t="str">
        <f t="shared" si="17"/>
        <v/>
      </c>
    </row>
    <row r="1109" spans="1:4">
      <c r="A1109" s="42" t="s">
        <v>1171</v>
      </c>
      <c r="B1109">
        <f>IFERROR(FIND('Simulador IR 2025'!$I$29, A1109), 0)</f>
        <v>1</v>
      </c>
      <c r="C1109">
        <f>IF(B1109&gt;0, MAX($C$2:C1108)+1, "")</f>
        <v>1107</v>
      </c>
      <c r="D1109" t="str">
        <f t="shared" si="17"/>
        <v/>
      </c>
    </row>
    <row r="1110" spans="1:4">
      <c r="A1110" s="42" t="s">
        <v>1172</v>
      </c>
      <c r="B1110">
        <f>IFERROR(FIND('Simulador IR 2025'!$I$29, A1110), 0)</f>
        <v>1</v>
      </c>
      <c r="C1110">
        <f>IF(B1110&gt;0, MAX($C$2:C1109)+1, "")</f>
        <v>1108</v>
      </c>
      <c r="D1110" t="str">
        <f t="shared" si="17"/>
        <v/>
      </c>
    </row>
    <row r="1111" spans="1:4">
      <c r="A1111" s="42" t="s">
        <v>1173</v>
      </c>
      <c r="B1111">
        <f>IFERROR(FIND('Simulador IR 2025'!$I$29, A1111), 0)</f>
        <v>1</v>
      </c>
      <c r="C1111">
        <f>IF(B1111&gt;0, MAX($C$2:C1110)+1, "")</f>
        <v>1109</v>
      </c>
      <c r="D1111" t="str">
        <f t="shared" si="17"/>
        <v/>
      </c>
    </row>
    <row r="1112" spans="1:4">
      <c r="A1112" s="42" t="s">
        <v>1174</v>
      </c>
      <c r="B1112">
        <f>IFERROR(FIND('Simulador IR 2025'!$I$29, A1112), 0)</f>
        <v>1</v>
      </c>
      <c r="C1112">
        <f>IF(B1112&gt;0, MAX($C$2:C1111)+1, "")</f>
        <v>1110</v>
      </c>
      <c r="D1112" t="str">
        <f t="shared" si="17"/>
        <v/>
      </c>
    </row>
    <row r="1113" spans="1:4">
      <c r="A1113" s="42" t="s">
        <v>1175</v>
      </c>
      <c r="B1113">
        <f>IFERROR(FIND('Simulador IR 2025'!$I$29, A1113), 0)</f>
        <v>1</v>
      </c>
      <c r="C1113">
        <f>IF(B1113&gt;0, MAX($C$2:C1112)+1, "")</f>
        <v>1111</v>
      </c>
      <c r="D1113" t="str">
        <f t="shared" si="17"/>
        <v/>
      </c>
    </row>
    <row r="1114" spans="1:4">
      <c r="A1114" s="42" t="s">
        <v>1176</v>
      </c>
      <c r="B1114">
        <f>IFERROR(FIND('Simulador IR 2025'!$I$29, A1114), 0)</f>
        <v>1</v>
      </c>
      <c r="C1114">
        <f>IF(B1114&gt;0, MAX($C$2:C1113)+1, "")</f>
        <v>1112</v>
      </c>
      <c r="D1114" t="str">
        <f t="shared" si="17"/>
        <v/>
      </c>
    </row>
    <row r="1115" spans="1:4">
      <c r="A1115" s="42" t="s">
        <v>1177</v>
      </c>
      <c r="B1115">
        <f>IFERROR(FIND('Simulador IR 2025'!$I$29, A1115), 0)</f>
        <v>1</v>
      </c>
      <c r="C1115">
        <f>IF(B1115&gt;0, MAX($C$2:C1114)+1, "")</f>
        <v>1113</v>
      </c>
      <c r="D1115" t="str">
        <f t="shared" si="17"/>
        <v/>
      </c>
    </row>
    <row r="1116" spans="1:4">
      <c r="A1116" s="42" t="s">
        <v>1178</v>
      </c>
      <c r="B1116">
        <f>IFERROR(FIND('Simulador IR 2025'!$I$29, A1116), 0)</f>
        <v>1</v>
      </c>
      <c r="C1116">
        <f>IF(B1116&gt;0, MAX($C$2:C1115)+1, "")</f>
        <v>1114</v>
      </c>
      <c r="D1116" t="str">
        <f t="shared" si="17"/>
        <v/>
      </c>
    </row>
    <row r="1117" spans="1:4">
      <c r="A1117" s="42" t="s">
        <v>1179</v>
      </c>
      <c r="B1117">
        <f>IFERROR(FIND('Simulador IR 2025'!$I$29, A1117), 0)</f>
        <v>1</v>
      </c>
      <c r="C1117">
        <f>IF(B1117&gt;0, MAX($C$2:C1116)+1, "")</f>
        <v>1115</v>
      </c>
      <c r="D1117" t="str">
        <f t="shared" si="17"/>
        <v/>
      </c>
    </row>
    <row r="1118" spans="1:4">
      <c r="A1118" s="42" t="s">
        <v>1180</v>
      </c>
      <c r="B1118">
        <f>IFERROR(FIND('Simulador IR 2025'!$I$29, A1118), 0)</f>
        <v>1</v>
      </c>
      <c r="C1118">
        <f>IF(B1118&gt;0, MAX($C$2:C1117)+1, "")</f>
        <v>1116</v>
      </c>
      <c r="D1118" t="str">
        <f t="shared" si="17"/>
        <v/>
      </c>
    </row>
    <row r="1119" spans="1:4">
      <c r="A1119" s="42" t="s">
        <v>1181</v>
      </c>
      <c r="B1119">
        <f>IFERROR(FIND('Simulador IR 2025'!$I$29, A1119), 0)</f>
        <v>1</v>
      </c>
      <c r="C1119">
        <f>IF(B1119&gt;0, MAX($C$2:C1118)+1, "")</f>
        <v>1117</v>
      </c>
      <c r="D1119" t="str">
        <f t="shared" si="17"/>
        <v/>
      </c>
    </row>
    <row r="1120" spans="1:4">
      <c r="A1120" s="42" t="s">
        <v>1182</v>
      </c>
      <c r="B1120">
        <f>IFERROR(FIND('Simulador IR 2025'!$I$29, A1120), 0)</f>
        <v>1</v>
      </c>
      <c r="C1120">
        <f>IF(B1120&gt;0, MAX($C$2:C1119)+1, "")</f>
        <v>1118</v>
      </c>
      <c r="D1120" t="str">
        <f t="shared" si="17"/>
        <v/>
      </c>
    </row>
    <row r="1121" spans="1:4">
      <c r="A1121" s="42" t="s">
        <v>1183</v>
      </c>
      <c r="B1121">
        <f>IFERROR(FIND('Simulador IR 2025'!$I$29, A1121), 0)</f>
        <v>1</v>
      </c>
      <c r="C1121">
        <f>IF(B1121&gt;0, MAX($C$2:C1120)+1, "")</f>
        <v>1119</v>
      </c>
      <c r="D1121" t="str">
        <f t="shared" si="17"/>
        <v/>
      </c>
    </row>
    <row r="1122" spans="1:4">
      <c r="A1122" s="42" t="s">
        <v>1184</v>
      </c>
      <c r="B1122">
        <f>IFERROR(FIND('Simulador IR 2025'!$I$29, A1122), 0)</f>
        <v>1</v>
      </c>
      <c r="C1122">
        <f>IF(B1122&gt;0, MAX($C$2:C1121)+1, "")</f>
        <v>1120</v>
      </c>
      <c r="D1122" t="str">
        <f t="shared" si="17"/>
        <v/>
      </c>
    </row>
    <row r="1123" spans="1:4">
      <c r="A1123" s="42" t="s">
        <v>1185</v>
      </c>
      <c r="B1123">
        <f>IFERROR(FIND('Simulador IR 2025'!$I$29, A1123), 0)</f>
        <v>1</v>
      </c>
      <c r="C1123">
        <f>IF(B1123&gt;0, MAX($C$2:C1122)+1, "")</f>
        <v>1121</v>
      </c>
      <c r="D1123" t="str">
        <f t="shared" si="17"/>
        <v/>
      </c>
    </row>
    <row r="1124" spans="1:4">
      <c r="A1124" s="42" t="s">
        <v>1186</v>
      </c>
      <c r="B1124">
        <f>IFERROR(FIND('Simulador IR 2025'!$I$29, A1124), 0)</f>
        <v>1</v>
      </c>
      <c r="C1124">
        <f>IF(B1124&gt;0, MAX($C$2:C1123)+1, "")</f>
        <v>1122</v>
      </c>
      <c r="D1124" t="str">
        <f t="shared" si="17"/>
        <v/>
      </c>
    </row>
    <row r="1125" spans="1:4">
      <c r="A1125" s="42" t="s">
        <v>1187</v>
      </c>
      <c r="B1125">
        <f>IFERROR(FIND('Simulador IR 2025'!$I$29, A1125), 0)</f>
        <v>1</v>
      </c>
      <c r="C1125">
        <f>IF(B1125&gt;0, MAX($C$2:C1124)+1, "")</f>
        <v>1123</v>
      </c>
      <c r="D1125" t="str">
        <f t="shared" si="17"/>
        <v/>
      </c>
    </row>
    <row r="1126" spans="1:4">
      <c r="A1126" s="42" t="s">
        <v>1188</v>
      </c>
      <c r="B1126">
        <f>IFERROR(FIND('Simulador IR 2025'!$I$29, A1126), 0)</f>
        <v>1</v>
      </c>
      <c r="C1126">
        <f>IF(B1126&gt;0, MAX($C$2:C1125)+1, "")</f>
        <v>1124</v>
      </c>
      <c r="D1126" t="str">
        <f t="shared" si="17"/>
        <v/>
      </c>
    </row>
    <row r="1127" spans="1:4">
      <c r="A1127" s="42" t="s">
        <v>1189</v>
      </c>
      <c r="B1127">
        <f>IFERROR(FIND('Simulador IR 2025'!$I$29, A1127), 0)</f>
        <v>1</v>
      </c>
      <c r="C1127">
        <f>IF(B1127&gt;0, MAX($C$2:C1126)+1, "")</f>
        <v>1125</v>
      </c>
      <c r="D1127" t="str">
        <f t="shared" si="17"/>
        <v/>
      </c>
    </row>
    <row r="1128" spans="1:4">
      <c r="A1128" s="42" t="s">
        <v>1190</v>
      </c>
      <c r="B1128">
        <f>IFERROR(FIND('Simulador IR 2025'!$I$29, A1128), 0)</f>
        <v>1</v>
      </c>
      <c r="C1128">
        <f>IF(B1128&gt;0, MAX($C$2:C1127)+1, "")</f>
        <v>1126</v>
      </c>
      <c r="D1128" t="str">
        <f t="shared" si="17"/>
        <v/>
      </c>
    </row>
    <row r="1129" spans="1:4">
      <c r="A1129" s="42" t="s">
        <v>1191</v>
      </c>
      <c r="B1129">
        <f>IFERROR(FIND('Simulador IR 2025'!$I$29, A1129), 0)</f>
        <v>1</v>
      </c>
      <c r="C1129">
        <f>IF(B1129&gt;0, MAX($C$2:C1128)+1, "")</f>
        <v>1127</v>
      </c>
      <c r="D1129" t="str">
        <f t="shared" si="17"/>
        <v/>
      </c>
    </row>
    <row r="1130" spans="1:4">
      <c r="A1130" s="42" t="s">
        <v>1192</v>
      </c>
      <c r="B1130">
        <f>IFERROR(FIND('Simulador IR 2025'!$I$29, A1130), 0)</f>
        <v>1</v>
      </c>
      <c r="C1130">
        <f>IF(B1130&gt;0, MAX($C$2:C1129)+1, "")</f>
        <v>1128</v>
      </c>
      <c r="D1130" t="str">
        <f t="shared" si="17"/>
        <v/>
      </c>
    </row>
    <row r="1131" spans="1:4">
      <c r="A1131" s="42" t="s">
        <v>1193</v>
      </c>
      <c r="B1131">
        <f>IFERROR(FIND('Simulador IR 2025'!$I$29, A1131), 0)</f>
        <v>1</v>
      </c>
      <c r="C1131">
        <f>IF(B1131&gt;0, MAX($C$2:C1130)+1, "")</f>
        <v>1129</v>
      </c>
      <c r="D1131" t="str">
        <f t="shared" si="17"/>
        <v/>
      </c>
    </row>
    <row r="1132" spans="1:4">
      <c r="A1132" s="42" t="s">
        <v>1194</v>
      </c>
      <c r="B1132">
        <f>IFERROR(FIND('Simulador IR 2025'!$I$29, A1132), 0)</f>
        <v>1</v>
      </c>
      <c r="C1132">
        <f>IF(B1132&gt;0, MAX($C$2:C1131)+1, "")</f>
        <v>1130</v>
      </c>
      <c r="D1132" t="str">
        <f t="shared" si="17"/>
        <v/>
      </c>
    </row>
    <row r="1133" spans="1:4">
      <c r="A1133" s="42" t="s">
        <v>1195</v>
      </c>
      <c r="B1133">
        <f>IFERROR(FIND('Simulador IR 2025'!$I$29, A1133), 0)</f>
        <v>1</v>
      </c>
      <c r="C1133">
        <f>IF(B1133&gt;0, MAX($C$2:C1132)+1, "")</f>
        <v>1131</v>
      </c>
      <c r="D1133" t="str">
        <f t="shared" si="17"/>
        <v/>
      </c>
    </row>
    <row r="1134" spans="1:4">
      <c r="A1134" s="42" t="s">
        <v>1196</v>
      </c>
      <c r="B1134">
        <f>IFERROR(FIND('Simulador IR 2025'!$I$29, A1134), 0)</f>
        <v>1</v>
      </c>
      <c r="C1134">
        <f>IF(B1134&gt;0, MAX($C$2:C1133)+1, "")</f>
        <v>1132</v>
      </c>
      <c r="D1134" t="str">
        <f t="shared" si="17"/>
        <v/>
      </c>
    </row>
    <row r="1135" spans="1:4">
      <c r="A1135" s="42" t="s">
        <v>1197</v>
      </c>
      <c r="B1135">
        <f>IFERROR(FIND('Simulador IR 2025'!$I$29, A1135), 0)</f>
        <v>1</v>
      </c>
      <c r="C1135">
        <f>IF(B1135&gt;0, MAX($C$2:C1134)+1, "")</f>
        <v>1133</v>
      </c>
      <c r="D1135" t="str">
        <f t="shared" si="17"/>
        <v/>
      </c>
    </row>
    <row r="1136" spans="1:4">
      <c r="A1136" s="42" t="s">
        <v>1198</v>
      </c>
      <c r="B1136">
        <f>IFERROR(FIND('Simulador IR 2025'!$I$29, A1136), 0)</f>
        <v>1</v>
      </c>
      <c r="C1136">
        <f>IF(B1136&gt;0, MAX($C$2:C1135)+1, "")</f>
        <v>1134</v>
      </c>
      <c r="D1136" t="str">
        <f t="shared" si="17"/>
        <v/>
      </c>
    </row>
    <row r="1137" spans="1:4">
      <c r="A1137" s="42" t="s">
        <v>1199</v>
      </c>
      <c r="B1137">
        <f>IFERROR(FIND('Simulador IR 2025'!$I$29, A1137), 0)</f>
        <v>1</v>
      </c>
      <c r="C1137">
        <f>IF(B1137&gt;0, MAX($C$2:C1136)+1, "")</f>
        <v>1135</v>
      </c>
      <c r="D1137" t="str">
        <f t="shared" si="17"/>
        <v/>
      </c>
    </row>
    <row r="1138" spans="1:4">
      <c r="A1138" s="42" t="s">
        <v>1200</v>
      </c>
      <c r="B1138">
        <f>IFERROR(FIND('Simulador IR 2025'!$I$29, A1138), 0)</f>
        <v>1</v>
      </c>
      <c r="C1138">
        <f>IF(B1138&gt;0, MAX($C$2:C1137)+1, "")</f>
        <v>1136</v>
      </c>
      <c r="D1138" t="str">
        <f t="shared" si="17"/>
        <v/>
      </c>
    </row>
    <row r="1139" spans="1:4">
      <c r="A1139" s="42" t="s">
        <v>1201</v>
      </c>
      <c r="B1139">
        <f>IFERROR(FIND('Simulador IR 2025'!$I$29, A1139), 0)</f>
        <v>1</v>
      </c>
      <c r="C1139">
        <f>IF(B1139&gt;0, MAX($C$2:C1138)+1, "")</f>
        <v>1137</v>
      </c>
      <c r="D1139" t="str">
        <f t="shared" si="17"/>
        <v/>
      </c>
    </row>
    <row r="1140" spans="1:4">
      <c r="A1140" s="42" t="s">
        <v>1202</v>
      </c>
      <c r="B1140">
        <f>IFERROR(FIND('Simulador IR 2025'!$I$29, A1140), 0)</f>
        <v>1</v>
      </c>
      <c r="C1140">
        <f>IF(B1140&gt;0, MAX($C$2:C1139)+1, "")</f>
        <v>1138</v>
      </c>
      <c r="D1140" t="str">
        <f t="shared" si="17"/>
        <v/>
      </c>
    </row>
    <row r="1141" spans="1:4">
      <c r="A1141" s="42" t="s">
        <v>1203</v>
      </c>
      <c r="B1141">
        <f>IFERROR(FIND('Simulador IR 2025'!$I$29, A1141), 0)</f>
        <v>1</v>
      </c>
      <c r="C1141">
        <f>IF(B1141&gt;0, MAX($C$2:C1140)+1, "")</f>
        <v>1139</v>
      </c>
      <c r="D1141" t="str">
        <f t="shared" si="17"/>
        <v/>
      </c>
    </row>
    <row r="1142" spans="1:4">
      <c r="A1142" s="42" t="s">
        <v>1204</v>
      </c>
      <c r="B1142">
        <f>IFERROR(FIND('Simulador IR 2025'!$I$29, A1142), 0)</f>
        <v>1</v>
      </c>
      <c r="C1142">
        <f>IF(B1142&gt;0, MAX($C$2:C1141)+1, "")</f>
        <v>1140</v>
      </c>
      <c r="D1142" t="str">
        <f t="shared" si="17"/>
        <v/>
      </c>
    </row>
    <row r="1143" spans="1:4">
      <c r="A1143" s="42" t="s">
        <v>1205</v>
      </c>
      <c r="B1143">
        <f>IFERROR(FIND('Simulador IR 2025'!$I$29, A1143), 0)</f>
        <v>1</v>
      </c>
      <c r="C1143">
        <f>IF(B1143&gt;0, MAX($C$2:C1142)+1, "")</f>
        <v>1141</v>
      </c>
      <c r="D1143" t="str">
        <f t="shared" si="17"/>
        <v/>
      </c>
    </row>
    <row r="1144" spans="1:4">
      <c r="A1144" s="42" t="s">
        <v>1206</v>
      </c>
      <c r="B1144">
        <f>IFERROR(FIND('Simulador IR 2025'!$I$29, A1144), 0)</f>
        <v>1</v>
      </c>
      <c r="C1144">
        <f>IF(B1144&gt;0, MAX($C$2:C1143)+1, "")</f>
        <v>1142</v>
      </c>
      <c r="D1144" t="str">
        <f t="shared" si="17"/>
        <v/>
      </c>
    </row>
    <row r="1145" spans="1:4">
      <c r="A1145" s="42" t="s">
        <v>1207</v>
      </c>
      <c r="B1145">
        <f>IFERROR(FIND('Simulador IR 2025'!$I$29, A1145), 0)</f>
        <v>1</v>
      </c>
      <c r="C1145">
        <f>IF(B1145&gt;0, MAX($C$2:C1144)+1, "")</f>
        <v>1143</v>
      </c>
      <c r="D1145" t="str">
        <f t="shared" si="17"/>
        <v/>
      </c>
    </row>
    <row r="1146" spans="1:4">
      <c r="A1146" s="42" t="s">
        <v>1208</v>
      </c>
      <c r="B1146">
        <f>IFERROR(FIND('Simulador IR 2025'!$I$29, A1146), 0)</f>
        <v>1</v>
      </c>
      <c r="C1146">
        <f>IF(B1146&gt;0, MAX($C$2:C1145)+1, "")</f>
        <v>1144</v>
      </c>
      <c r="D1146" t="str">
        <f t="shared" si="17"/>
        <v/>
      </c>
    </row>
    <row r="1147" spans="1:4">
      <c r="A1147" s="42" t="s">
        <v>1209</v>
      </c>
      <c r="B1147">
        <f>IFERROR(FIND('Simulador IR 2025'!$I$29, A1147), 0)</f>
        <v>1</v>
      </c>
      <c r="C1147">
        <f>IF(B1147&gt;0, MAX($C$2:C1146)+1, "")</f>
        <v>1145</v>
      </c>
      <c r="D1147" t="str">
        <f t="shared" si="17"/>
        <v/>
      </c>
    </row>
    <row r="1148" spans="1:4">
      <c r="A1148" s="42" t="s">
        <v>1210</v>
      </c>
      <c r="B1148">
        <f>IFERROR(FIND('Simulador IR 2025'!$I$29, A1148), 0)</f>
        <v>1</v>
      </c>
      <c r="C1148">
        <f>IF(B1148&gt;0, MAX($C$2:C1147)+1, "")</f>
        <v>1146</v>
      </c>
      <c r="D1148" t="str">
        <f t="shared" si="17"/>
        <v/>
      </c>
    </row>
    <row r="1149" spans="1:4">
      <c r="A1149" s="42" t="s">
        <v>1211</v>
      </c>
      <c r="B1149">
        <f>IFERROR(FIND('Simulador IR 2025'!$I$29, A1149), 0)</f>
        <v>1</v>
      </c>
      <c r="C1149">
        <f>IF(B1149&gt;0, MAX($C$2:C1148)+1, "")</f>
        <v>1147</v>
      </c>
      <c r="D1149" t="str">
        <f t="shared" si="17"/>
        <v/>
      </c>
    </row>
    <row r="1150" spans="1:4">
      <c r="A1150" s="42" t="s">
        <v>1212</v>
      </c>
      <c r="B1150">
        <f>IFERROR(FIND('Simulador IR 2025'!$I$29, A1150), 0)</f>
        <v>1</v>
      </c>
      <c r="C1150">
        <f>IF(B1150&gt;0, MAX($C$2:C1149)+1, "")</f>
        <v>1148</v>
      </c>
      <c r="D1150" t="str">
        <f t="shared" si="17"/>
        <v/>
      </c>
    </row>
    <row r="1151" spans="1:4">
      <c r="A1151" s="42" t="s">
        <v>1213</v>
      </c>
      <c r="B1151">
        <f>IFERROR(FIND('Simulador IR 2025'!$I$29, A1151), 0)</f>
        <v>1</v>
      </c>
      <c r="C1151">
        <f>IF(B1151&gt;0, MAX($C$2:C1150)+1, "")</f>
        <v>1149</v>
      </c>
      <c r="D1151" t="str">
        <f t="shared" si="17"/>
        <v/>
      </c>
    </row>
    <row r="1152" spans="1:4">
      <c r="A1152" s="42" t="s">
        <v>1214</v>
      </c>
      <c r="B1152">
        <f>IFERROR(FIND('Simulador IR 2025'!$I$29, A1152), 0)</f>
        <v>1</v>
      </c>
      <c r="C1152">
        <f>IF(B1152&gt;0, MAX($C$2:C1151)+1, "")</f>
        <v>1150</v>
      </c>
      <c r="D1152" t="str">
        <f t="shared" si="17"/>
        <v/>
      </c>
    </row>
    <row r="1153" spans="1:4">
      <c r="A1153" s="42" t="s">
        <v>1215</v>
      </c>
      <c r="B1153">
        <f>IFERROR(FIND('Simulador IR 2025'!$I$29, A1153), 0)</f>
        <v>1</v>
      </c>
      <c r="C1153">
        <f>IF(B1153&gt;0, MAX($C$2:C1152)+1, "")</f>
        <v>1151</v>
      </c>
      <c r="D1153" t="str">
        <f t="shared" si="17"/>
        <v/>
      </c>
    </row>
    <row r="1154" spans="1:4">
      <c r="A1154" s="42" t="s">
        <v>1216</v>
      </c>
      <c r="B1154">
        <f>IFERROR(FIND('Simulador IR 2025'!$I$29, A1154), 0)</f>
        <v>1</v>
      </c>
      <c r="C1154">
        <f>IF(B1154&gt;0, MAX($C$2:C1153)+1, "")</f>
        <v>1152</v>
      </c>
      <c r="D1154" t="str">
        <f t="shared" si="17"/>
        <v/>
      </c>
    </row>
    <row r="1155" spans="1:4">
      <c r="A1155" s="42" t="s">
        <v>1217</v>
      </c>
      <c r="B1155">
        <f>IFERROR(FIND('Simulador IR 2025'!$I$29, A1155), 0)</f>
        <v>1</v>
      </c>
      <c r="C1155">
        <f>IF(B1155&gt;0, MAX($C$2:C1154)+1, "")</f>
        <v>1153</v>
      </c>
      <c r="D1155" t="str">
        <f t="shared" si="17"/>
        <v/>
      </c>
    </row>
    <row r="1156" spans="1:4">
      <c r="A1156" s="42" t="s">
        <v>1218</v>
      </c>
      <c r="B1156">
        <f>IFERROR(FIND('Simulador IR 2025'!$I$29, A1156), 0)</f>
        <v>1</v>
      </c>
      <c r="C1156">
        <f>IF(B1156&gt;0, MAX($C$2:C1155)+1, "")</f>
        <v>1154</v>
      </c>
      <c r="D1156" t="str">
        <f t="shared" ref="D1156:D1219" si="18">IFERROR(VLOOKUP(ROW(A1154), $A$3:$C$2681, -2, FALSE), "")</f>
        <v/>
      </c>
    </row>
    <row r="1157" spans="1:4">
      <c r="A1157" s="42" t="s">
        <v>1219</v>
      </c>
      <c r="B1157">
        <f>IFERROR(FIND('Simulador IR 2025'!$I$29, A1157), 0)</f>
        <v>1</v>
      </c>
      <c r="C1157">
        <f>IF(B1157&gt;0, MAX($C$2:C1156)+1, "")</f>
        <v>1155</v>
      </c>
      <c r="D1157" t="str">
        <f t="shared" si="18"/>
        <v/>
      </c>
    </row>
    <row r="1158" spans="1:4">
      <c r="A1158" s="42" t="s">
        <v>1220</v>
      </c>
      <c r="B1158">
        <f>IFERROR(FIND('Simulador IR 2025'!$I$29, A1158), 0)</f>
        <v>1</v>
      </c>
      <c r="C1158">
        <f>IF(B1158&gt;0, MAX($C$2:C1157)+1, "")</f>
        <v>1156</v>
      </c>
      <c r="D1158" t="str">
        <f t="shared" si="18"/>
        <v/>
      </c>
    </row>
    <row r="1159" spans="1:4">
      <c r="A1159" s="42" t="s">
        <v>1221</v>
      </c>
      <c r="B1159">
        <f>IFERROR(FIND('Simulador IR 2025'!$I$29, A1159), 0)</f>
        <v>1</v>
      </c>
      <c r="C1159">
        <f>IF(B1159&gt;0, MAX($C$2:C1158)+1, "")</f>
        <v>1157</v>
      </c>
      <c r="D1159" t="str">
        <f t="shared" si="18"/>
        <v/>
      </c>
    </row>
    <row r="1160" spans="1:4">
      <c r="A1160" s="42" t="s">
        <v>1222</v>
      </c>
      <c r="B1160">
        <f>IFERROR(FIND('Simulador IR 2025'!$I$29, A1160), 0)</f>
        <v>1</v>
      </c>
      <c r="C1160">
        <f>IF(B1160&gt;0, MAX($C$2:C1159)+1, "")</f>
        <v>1158</v>
      </c>
      <c r="D1160" t="str">
        <f t="shared" si="18"/>
        <v/>
      </c>
    </row>
    <row r="1161" spans="1:4">
      <c r="A1161" s="42" t="s">
        <v>1223</v>
      </c>
      <c r="B1161">
        <f>IFERROR(FIND('Simulador IR 2025'!$I$29, A1161), 0)</f>
        <v>1</v>
      </c>
      <c r="C1161">
        <f>IF(B1161&gt;0, MAX($C$2:C1160)+1, "")</f>
        <v>1159</v>
      </c>
      <c r="D1161" t="str">
        <f t="shared" si="18"/>
        <v/>
      </c>
    </row>
    <row r="1162" spans="1:4">
      <c r="A1162" s="42" t="s">
        <v>1224</v>
      </c>
      <c r="B1162">
        <f>IFERROR(FIND('Simulador IR 2025'!$I$29, A1162), 0)</f>
        <v>1</v>
      </c>
      <c r="C1162">
        <f>IF(B1162&gt;0, MAX($C$2:C1161)+1, "")</f>
        <v>1160</v>
      </c>
      <c r="D1162" t="str">
        <f t="shared" si="18"/>
        <v/>
      </c>
    </row>
    <row r="1163" spans="1:4">
      <c r="A1163" s="42" t="s">
        <v>1225</v>
      </c>
      <c r="B1163">
        <f>IFERROR(FIND('Simulador IR 2025'!$I$29, A1163), 0)</f>
        <v>1</v>
      </c>
      <c r="C1163">
        <f>IF(B1163&gt;0, MAX($C$2:C1162)+1, "")</f>
        <v>1161</v>
      </c>
      <c r="D1163" t="str">
        <f t="shared" si="18"/>
        <v/>
      </c>
    </row>
    <row r="1164" spans="1:4">
      <c r="A1164" s="42" t="s">
        <v>1226</v>
      </c>
      <c r="B1164">
        <f>IFERROR(FIND('Simulador IR 2025'!$I$29, A1164), 0)</f>
        <v>1</v>
      </c>
      <c r="C1164">
        <f>IF(B1164&gt;0, MAX($C$2:C1163)+1, "")</f>
        <v>1162</v>
      </c>
      <c r="D1164" t="str">
        <f t="shared" si="18"/>
        <v/>
      </c>
    </row>
    <row r="1165" spans="1:4">
      <c r="A1165" s="42" t="s">
        <v>1227</v>
      </c>
      <c r="B1165">
        <f>IFERROR(FIND('Simulador IR 2025'!$I$29, A1165), 0)</f>
        <v>1</v>
      </c>
      <c r="C1165">
        <f>IF(B1165&gt;0, MAX($C$2:C1164)+1, "")</f>
        <v>1163</v>
      </c>
      <c r="D1165" t="str">
        <f t="shared" si="18"/>
        <v/>
      </c>
    </row>
    <row r="1166" spans="1:4">
      <c r="A1166" s="42" t="s">
        <v>1228</v>
      </c>
      <c r="B1166">
        <f>IFERROR(FIND('Simulador IR 2025'!$I$29, A1166), 0)</f>
        <v>1</v>
      </c>
      <c r="C1166">
        <f>IF(B1166&gt;0, MAX($C$2:C1165)+1, "")</f>
        <v>1164</v>
      </c>
      <c r="D1166" t="str">
        <f t="shared" si="18"/>
        <v/>
      </c>
    </row>
    <row r="1167" spans="1:4">
      <c r="A1167" s="42" t="s">
        <v>1229</v>
      </c>
      <c r="B1167">
        <f>IFERROR(FIND('Simulador IR 2025'!$I$29, A1167), 0)</f>
        <v>1</v>
      </c>
      <c r="C1167">
        <f>IF(B1167&gt;0, MAX($C$2:C1166)+1, "")</f>
        <v>1165</v>
      </c>
      <c r="D1167" t="str">
        <f t="shared" si="18"/>
        <v/>
      </c>
    </row>
    <row r="1168" spans="1:4">
      <c r="A1168" s="42" t="s">
        <v>1230</v>
      </c>
      <c r="B1168">
        <f>IFERROR(FIND('Simulador IR 2025'!$I$29, A1168), 0)</f>
        <v>1</v>
      </c>
      <c r="C1168">
        <f>IF(B1168&gt;0, MAX($C$2:C1167)+1, "")</f>
        <v>1166</v>
      </c>
      <c r="D1168" t="str">
        <f t="shared" si="18"/>
        <v/>
      </c>
    </row>
    <row r="1169" spans="1:4">
      <c r="A1169" s="42" t="s">
        <v>1231</v>
      </c>
      <c r="B1169">
        <f>IFERROR(FIND('Simulador IR 2025'!$I$29, A1169), 0)</f>
        <v>1</v>
      </c>
      <c r="C1169">
        <f>IF(B1169&gt;0, MAX($C$2:C1168)+1, "")</f>
        <v>1167</v>
      </c>
      <c r="D1169" t="str">
        <f t="shared" si="18"/>
        <v/>
      </c>
    </row>
    <row r="1170" spans="1:4">
      <c r="A1170" s="42" t="s">
        <v>1232</v>
      </c>
      <c r="B1170">
        <f>IFERROR(FIND('Simulador IR 2025'!$I$29, A1170), 0)</f>
        <v>1</v>
      </c>
      <c r="C1170">
        <f>IF(B1170&gt;0, MAX($C$2:C1169)+1, "")</f>
        <v>1168</v>
      </c>
      <c r="D1170" t="str">
        <f t="shared" si="18"/>
        <v/>
      </c>
    </row>
    <row r="1171" spans="1:4">
      <c r="A1171" s="42" t="s">
        <v>1233</v>
      </c>
      <c r="B1171">
        <f>IFERROR(FIND('Simulador IR 2025'!$I$29, A1171), 0)</f>
        <v>1</v>
      </c>
      <c r="C1171">
        <f>IF(B1171&gt;0, MAX($C$2:C1170)+1, "")</f>
        <v>1169</v>
      </c>
      <c r="D1171" t="str">
        <f t="shared" si="18"/>
        <v/>
      </c>
    </row>
    <row r="1172" spans="1:4">
      <c r="A1172" s="42" t="s">
        <v>1234</v>
      </c>
      <c r="B1172">
        <f>IFERROR(FIND('Simulador IR 2025'!$I$29, A1172), 0)</f>
        <v>1</v>
      </c>
      <c r="C1172">
        <f>IF(B1172&gt;0, MAX($C$2:C1171)+1, "")</f>
        <v>1170</v>
      </c>
      <c r="D1172" t="str">
        <f t="shared" si="18"/>
        <v/>
      </c>
    </row>
    <row r="1173" spans="1:4">
      <c r="A1173" s="42" t="s">
        <v>1235</v>
      </c>
      <c r="B1173">
        <f>IFERROR(FIND('Simulador IR 2025'!$I$29, A1173), 0)</f>
        <v>1</v>
      </c>
      <c r="C1173">
        <f>IF(B1173&gt;0, MAX($C$2:C1172)+1, "")</f>
        <v>1171</v>
      </c>
      <c r="D1173" t="str">
        <f t="shared" si="18"/>
        <v/>
      </c>
    </row>
    <row r="1174" spans="1:4">
      <c r="A1174" s="42" t="s">
        <v>1236</v>
      </c>
      <c r="B1174">
        <f>IFERROR(FIND('Simulador IR 2025'!$I$29, A1174), 0)</f>
        <v>1</v>
      </c>
      <c r="C1174">
        <f>IF(B1174&gt;0, MAX($C$2:C1173)+1, "")</f>
        <v>1172</v>
      </c>
      <c r="D1174" t="str">
        <f t="shared" si="18"/>
        <v/>
      </c>
    </row>
    <row r="1175" spans="1:4">
      <c r="A1175" s="42" t="s">
        <v>1237</v>
      </c>
      <c r="B1175">
        <f>IFERROR(FIND('Simulador IR 2025'!$I$29, A1175), 0)</f>
        <v>1</v>
      </c>
      <c r="C1175">
        <f>IF(B1175&gt;0, MAX($C$2:C1174)+1, "")</f>
        <v>1173</v>
      </c>
      <c r="D1175" t="str">
        <f t="shared" si="18"/>
        <v/>
      </c>
    </row>
    <row r="1176" spans="1:4">
      <c r="A1176" s="42" t="s">
        <v>1238</v>
      </c>
      <c r="B1176">
        <f>IFERROR(FIND('Simulador IR 2025'!$I$29, A1176), 0)</f>
        <v>1</v>
      </c>
      <c r="C1176">
        <f>IF(B1176&gt;0, MAX($C$2:C1175)+1, "")</f>
        <v>1174</v>
      </c>
      <c r="D1176" t="str">
        <f t="shared" si="18"/>
        <v/>
      </c>
    </row>
    <row r="1177" spans="1:4">
      <c r="A1177" s="42" t="s">
        <v>1239</v>
      </c>
      <c r="B1177">
        <f>IFERROR(FIND('Simulador IR 2025'!$I$29, A1177), 0)</f>
        <v>1</v>
      </c>
      <c r="C1177">
        <f>IF(B1177&gt;0, MAX($C$2:C1176)+1, "")</f>
        <v>1175</v>
      </c>
      <c r="D1177" t="str">
        <f t="shared" si="18"/>
        <v/>
      </c>
    </row>
    <row r="1178" spans="1:4">
      <c r="A1178" s="42" t="s">
        <v>1240</v>
      </c>
      <c r="B1178">
        <f>IFERROR(FIND('Simulador IR 2025'!$I$29, A1178), 0)</f>
        <v>1</v>
      </c>
      <c r="C1178">
        <f>IF(B1178&gt;0, MAX($C$2:C1177)+1, "")</f>
        <v>1176</v>
      </c>
      <c r="D1178" t="str">
        <f t="shared" si="18"/>
        <v/>
      </c>
    </row>
    <row r="1179" spans="1:4">
      <c r="A1179" s="42" t="s">
        <v>1241</v>
      </c>
      <c r="B1179">
        <f>IFERROR(FIND('Simulador IR 2025'!$I$29, A1179), 0)</f>
        <v>1</v>
      </c>
      <c r="C1179">
        <f>IF(B1179&gt;0, MAX($C$2:C1178)+1, "")</f>
        <v>1177</v>
      </c>
      <c r="D1179" t="str">
        <f t="shared" si="18"/>
        <v/>
      </c>
    </row>
    <row r="1180" spans="1:4">
      <c r="A1180" s="42" t="s">
        <v>1242</v>
      </c>
      <c r="B1180">
        <f>IFERROR(FIND('Simulador IR 2025'!$I$29, A1180), 0)</f>
        <v>1</v>
      </c>
      <c r="C1180">
        <f>IF(B1180&gt;0, MAX($C$2:C1179)+1, "")</f>
        <v>1178</v>
      </c>
      <c r="D1180" t="str">
        <f t="shared" si="18"/>
        <v/>
      </c>
    </row>
    <row r="1181" spans="1:4">
      <c r="A1181" s="42" t="s">
        <v>1243</v>
      </c>
      <c r="B1181">
        <f>IFERROR(FIND('Simulador IR 2025'!$I$29, A1181), 0)</f>
        <v>1</v>
      </c>
      <c r="C1181">
        <f>IF(B1181&gt;0, MAX($C$2:C1180)+1, "")</f>
        <v>1179</v>
      </c>
      <c r="D1181" t="str">
        <f t="shared" si="18"/>
        <v/>
      </c>
    </row>
    <row r="1182" spans="1:4">
      <c r="A1182" s="42" t="s">
        <v>1244</v>
      </c>
      <c r="B1182">
        <f>IFERROR(FIND('Simulador IR 2025'!$I$29, A1182), 0)</f>
        <v>1</v>
      </c>
      <c r="C1182">
        <f>IF(B1182&gt;0, MAX($C$2:C1181)+1, "")</f>
        <v>1180</v>
      </c>
      <c r="D1182" t="str">
        <f t="shared" si="18"/>
        <v/>
      </c>
    </row>
    <row r="1183" spans="1:4">
      <c r="A1183" s="42" t="s">
        <v>1245</v>
      </c>
      <c r="B1183">
        <f>IFERROR(FIND('Simulador IR 2025'!$I$29, A1183), 0)</f>
        <v>1</v>
      </c>
      <c r="C1183">
        <f>IF(B1183&gt;0, MAX($C$2:C1182)+1, "")</f>
        <v>1181</v>
      </c>
      <c r="D1183" t="str">
        <f t="shared" si="18"/>
        <v/>
      </c>
    </row>
    <row r="1184" spans="1:4">
      <c r="A1184" s="42" t="s">
        <v>1246</v>
      </c>
      <c r="B1184">
        <f>IFERROR(FIND('Simulador IR 2025'!$I$29, A1184), 0)</f>
        <v>1</v>
      </c>
      <c r="C1184">
        <f>IF(B1184&gt;0, MAX($C$2:C1183)+1, "")</f>
        <v>1182</v>
      </c>
      <c r="D1184" t="str">
        <f t="shared" si="18"/>
        <v/>
      </c>
    </row>
    <row r="1185" spans="1:4">
      <c r="A1185" s="42" t="s">
        <v>1247</v>
      </c>
      <c r="B1185">
        <f>IFERROR(FIND('Simulador IR 2025'!$I$29, A1185), 0)</f>
        <v>1</v>
      </c>
      <c r="C1185">
        <f>IF(B1185&gt;0, MAX($C$2:C1184)+1, "")</f>
        <v>1183</v>
      </c>
      <c r="D1185" t="str">
        <f t="shared" si="18"/>
        <v/>
      </c>
    </row>
    <row r="1186" spans="1:4">
      <c r="A1186" s="42" t="s">
        <v>1248</v>
      </c>
      <c r="B1186">
        <f>IFERROR(FIND('Simulador IR 2025'!$I$29, A1186), 0)</f>
        <v>1</v>
      </c>
      <c r="C1186">
        <f>IF(B1186&gt;0, MAX($C$2:C1185)+1, "")</f>
        <v>1184</v>
      </c>
      <c r="D1186" t="str">
        <f t="shared" si="18"/>
        <v/>
      </c>
    </row>
    <row r="1187" spans="1:4">
      <c r="A1187" s="42" t="s">
        <v>1249</v>
      </c>
      <c r="B1187">
        <f>IFERROR(FIND('Simulador IR 2025'!$I$29, A1187), 0)</f>
        <v>1</v>
      </c>
      <c r="C1187">
        <f>IF(B1187&gt;0, MAX($C$2:C1186)+1, "")</f>
        <v>1185</v>
      </c>
      <c r="D1187" t="str">
        <f t="shared" si="18"/>
        <v/>
      </c>
    </row>
    <row r="1188" spans="1:4">
      <c r="A1188" s="42" t="s">
        <v>1250</v>
      </c>
      <c r="B1188">
        <f>IFERROR(FIND('Simulador IR 2025'!$I$29, A1188), 0)</f>
        <v>1</v>
      </c>
      <c r="C1188">
        <f>IF(B1188&gt;0, MAX($C$2:C1187)+1, "")</f>
        <v>1186</v>
      </c>
      <c r="D1188" t="str">
        <f t="shared" si="18"/>
        <v/>
      </c>
    </row>
    <row r="1189" spans="1:4">
      <c r="A1189" s="42" t="s">
        <v>1251</v>
      </c>
      <c r="B1189">
        <f>IFERROR(FIND('Simulador IR 2025'!$I$29, A1189), 0)</f>
        <v>1</v>
      </c>
      <c r="C1189">
        <f>IF(B1189&gt;0, MAX($C$2:C1188)+1, "")</f>
        <v>1187</v>
      </c>
      <c r="D1189" t="str">
        <f t="shared" si="18"/>
        <v/>
      </c>
    </row>
    <row r="1190" spans="1:4">
      <c r="A1190" s="42" t="s">
        <v>1252</v>
      </c>
      <c r="B1190">
        <f>IFERROR(FIND('Simulador IR 2025'!$I$29, A1190), 0)</f>
        <v>1</v>
      </c>
      <c r="C1190">
        <f>IF(B1190&gt;0, MAX($C$2:C1189)+1, "")</f>
        <v>1188</v>
      </c>
      <c r="D1190" t="str">
        <f t="shared" si="18"/>
        <v/>
      </c>
    </row>
    <row r="1191" spans="1:4">
      <c r="A1191" s="42" t="s">
        <v>1253</v>
      </c>
      <c r="B1191">
        <f>IFERROR(FIND('Simulador IR 2025'!$I$29, A1191), 0)</f>
        <v>1</v>
      </c>
      <c r="C1191">
        <f>IF(B1191&gt;0, MAX($C$2:C1190)+1, "")</f>
        <v>1189</v>
      </c>
      <c r="D1191" t="str">
        <f t="shared" si="18"/>
        <v/>
      </c>
    </row>
    <row r="1192" spans="1:4">
      <c r="A1192" s="42" t="s">
        <v>1254</v>
      </c>
      <c r="B1192">
        <f>IFERROR(FIND('Simulador IR 2025'!$I$29, A1192), 0)</f>
        <v>1</v>
      </c>
      <c r="C1192">
        <f>IF(B1192&gt;0, MAX($C$2:C1191)+1, "")</f>
        <v>1190</v>
      </c>
      <c r="D1192" t="str">
        <f t="shared" si="18"/>
        <v/>
      </c>
    </row>
    <row r="1193" spans="1:4">
      <c r="A1193" s="42" t="s">
        <v>1255</v>
      </c>
      <c r="B1193">
        <f>IFERROR(FIND('Simulador IR 2025'!$I$29, A1193), 0)</f>
        <v>1</v>
      </c>
      <c r="C1193">
        <f>IF(B1193&gt;0, MAX($C$2:C1192)+1, "")</f>
        <v>1191</v>
      </c>
      <c r="D1193" t="str">
        <f t="shared" si="18"/>
        <v/>
      </c>
    </row>
    <row r="1194" spans="1:4">
      <c r="A1194" s="42" t="s">
        <v>1256</v>
      </c>
      <c r="B1194">
        <f>IFERROR(FIND('Simulador IR 2025'!$I$29, A1194), 0)</f>
        <v>1</v>
      </c>
      <c r="C1194">
        <f>IF(B1194&gt;0, MAX($C$2:C1193)+1, "")</f>
        <v>1192</v>
      </c>
      <c r="D1194" t="str">
        <f t="shared" si="18"/>
        <v/>
      </c>
    </row>
    <row r="1195" spans="1:4">
      <c r="A1195" s="42" t="s">
        <v>1257</v>
      </c>
      <c r="B1195">
        <f>IFERROR(FIND('Simulador IR 2025'!$I$29, A1195), 0)</f>
        <v>1</v>
      </c>
      <c r="C1195">
        <f>IF(B1195&gt;0, MAX($C$2:C1194)+1, "")</f>
        <v>1193</v>
      </c>
      <c r="D1195" t="str">
        <f t="shared" si="18"/>
        <v/>
      </c>
    </row>
    <row r="1196" spans="1:4">
      <c r="A1196" s="42" t="s">
        <v>1258</v>
      </c>
      <c r="B1196">
        <f>IFERROR(FIND('Simulador IR 2025'!$I$29, A1196), 0)</f>
        <v>1</v>
      </c>
      <c r="C1196">
        <f>IF(B1196&gt;0, MAX($C$2:C1195)+1, "")</f>
        <v>1194</v>
      </c>
      <c r="D1196" t="str">
        <f t="shared" si="18"/>
        <v/>
      </c>
    </row>
    <row r="1197" spans="1:4">
      <c r="A1197" s="42" t="s">
        <v>1259</v>
      </c>
      <c r="B1197">
        <f>IFERROR(FIND('Simulador IR 2025'!$I$29, A1197), 0)</f>
        <v>1</v>
      </c>
      <c r="C1197">
        <f>IF(B1197&gt;0, MAX($C$2:C1196)+1, "")</f>
        <v>1195</v>
      </c>
      <c r="D1197" t="str">
        <f t="shared" si="18"/>
        <v/>
      </c>
    </row>
    <row r="1198" spans="1:4">
      <c r="A1198" s="42" t="s">
        <v>1260</v>
      </c>
      <c r="B1198">
        <f>IFERROR(FIND('Simulador IR 2025'!$I$29, A1198), 0)</f>
        <v>1</v>
      </c>
      <c r="C1198">
        <f>IF(B1198&gt;0, MAX($C$2:C1197)+1, "")</f>
        <v>1196</v>
      </c>
      <c r="D1198" t="str">
        <f t="shared" si="18"/>
        <v/>
      </c>
    </row>
    <row r="1199" spans="1:4">
      <c r="A1199" s="42" t="s">
        <v>1261</v>
      </c>
      <c r="B1199">
        <f>IFERROR(FIND('Simulador IR 2025'!$I$29, A1199), 0)</f>
        <v>1</v>
      </c>
      <c r="C1199">
        <f>IF(B1199&gt;0, MAX($C$2:C1198)+1, "")</f>
        <v>1197</v>
      </c>
      <c r="D1199" t="str">
        <f t="shared" si="18"/>
        <v/>
      </c>
    </row>
    <row r="1200" spans="1:4">
      <c r="A1200" s="42" t="s">
        <v>1262</v>
      </c>
      <c r="B1200">
        <f>IFERROR(FIND('Simulador IR 2025'!$I$29, A1200), 0)</f>
        <v>1</v>
      </c>
      <c r="C1200">
        <f>IF(B1200&gt;0, MAX($C$2:C1199)+1, "")</f>
        <v>1198</v>
      </c>
      <c r="D1200" t="str">
        <f t="shared" si="18"/>
        <v/>
      </c>
    </row>
    <row r="1201" spans="1:4">
      <c r="A1201" s="42" t="s">
        <v>1263</v>
      </c>
      <c r="B1201">
        <f>IFERROR(FIND('Simulador IR 2025'!$I$29, A1201), 0)</f>
        <v>1</v>
      </c>
      <c r="C1201">
        <f>IF(B1201&gt;0, MAX($C$2:C1200)+1, "")</f>
        <v>1199</v>
      </c>
      <c r="D1201" t="str">
        <f t="shared" si="18"/>
        <v/>
      </c>
    </row>
    <row r="1202" spans="1:4">
      <c r="A1202" s="42" t="s">
        <v>1264</v>
      </c>
      <c r="B1202">
        <f>IFERROR(FIND('Simulador IR 2025'!$I$29, A1202), 0)</f>
        <v>1</v>
      </c>
      <c r="C1202">
        <f>IF(B1202&gt;0, MAX($C$2:C1201)+1, "")</f>
        <v>1200</v>
      </c>
      <c r="D1202" t="str">
        <f t="shared" si="18"/>
        <v/>
      </c>
    </row>
    <row r="1203" spans="1:4">
      <c r="A1203" s="42" t="s">
        <v>1265</v>
      </c>
      <c r="B1203">
        <f>IFERROR(FIND('Simulador IR 2025'!$I$29, A1203), 0)</f>
        <v>1</v>
      </c>
      <c r="C1203">
        <f>IF(B1203&gt;0, MAX($C$2:C1202)+1, "")</f>
        <v>1201</v>
      </c>
      <c r="D1203" t="str">
        <f t="shared" si="18"/>
        <v/>
      </c>
    </row>
    <row r="1204" spans="1:4">
      <c r="A1204" s="42" t="s">
        <v>1266</v>
      </c>
      <c r="B1204">
        <f>IFERROR(FIND('Simulador IR 2025'!$I$29, A1204), 0)</f>
        <v>1</v>
      </c>
      <c r="C1204">
        <f>IF(B1204&gt;0, MAX($C$2:C1203)+1, "")</f>
        <v>1202</v>
      </c>
      <c r="D1204" t="str">
        <f t="shared" si="18"/>
        <v/>
      </c>
    </row>
    <row r="1205" spans="1:4">
      <c r="A1205" s="42" t="s">
        <v>1267</v>
      </c>
      <c r="B1205">
        <f>IFERROR(FIND('Simulador IR 2025'!$I$29, A1205), 0)</f>
        <v>1</v>
      </c>
      <c r="C1205">
        <f>IF(B1205&gt;0, MAX($C$2:C1204)+1, "")</f>
        <v>1203</v>
      </c>
      <c r="D1205" t="str">
        <f t="shared" si="18"/>
        <v/>
      </c>
    </row>
    <row r="1206" spans="1:4">
      <c r="A1206" s="42" t="s">
        <v>1268</v>
      </c>
      <c r="B1206">
        <f>IFERROR(FIND('Simulador IR 2025'!$I$29, A1206), 0)</f>
        <v>1</v>
      </c>
      <c r="C1206">
        <f>IF(B1206&gt;0, MAX($C$2:C1205)+1, "")</f>
        <v>1204</v>
      </c>
      <c r="D1206" t="str">
        <f t="shared" si="18"/>
        <v/>
      </c>
    </row>
    <row r="1207" spans="1:4">
      <c r="A1207" s="42" t="s">
        <v>1269</v>
      </c>
      <c r="B1207">
        <f>IFERROR(FIND('Simulador IR 2025'!$I$29, A1207), 0)</f>
        <v>1</v>
      </c>
      <c r="C1207">
        <f>IF(B1207&gt;0, MAX($C$2:C1206)+1, "")</f>
        <v>1205</v>
      </c>
      <c r="D1207" t="str">
        <f t="shared" si="18"/>
        <v/>
      </c>
    </row>
    <row r="1208" spans="1:4">
      <c r="A1208" s="42" t="s">
        <v>1270</v>
      </c>
      <c r="B1208">
        <f>IFERROR(FIND('Simulador IR 2025'!$I$29, A1208), 0)</f>
        <v>1</v>
      </c>
      <c r="C1208">
        <f>IF(B1208&gt;0, MAX($C$2:C1207)+1, "")</f>
        <v>1206</v>
      </c>
      <c r="D1208" t="str">
        <f t="shared" si="18"/>
        <v/>
      </c>
    </row>
    <row r="1209" spans="1:4">
      <c r="A1209" s="42" t="s">
        <v>1271</v>
      </c>
      <c r="B1209">
        <f>IFERROR(FIND('Simulador IR 2025'!$I$29, A1209), 0)</f>
        <v>1</v>
      </c>
      <c r="C1209">
        <f>IF(B1209&gt;0, MAX($C$2:C1208)+1, "")</f>
        <v>1207</v>
      </c>
      <c r="D1209" t="str">
        <f t="shared" si="18"/>
        <v/>
      </c>
    </row>
    <row r="1210" spans="1:4">
      <c r="A1210" s="42" t="s">
        <v>1272</v>
      </c>
      <c r="B1210">
        <f>IFERROR(FIND('Simulador IR 2025'!$I$29, A1210), 0)</f>
        <v>1</v>
      </c>
      <c r="C1210">
        <f>IF(B1210&gt;0, MAX($C$2:C1209)+1, "")</f>
        <v>1208</v>
      </c>
      <c r="D1210" t="str">
        <f t="shared" si="18"/>
        <v/>
      </c>
    </row>
    <row r="1211" spans="1:4">
      <c r="A1211" s="42" t="s">
        <v>1273</v>
      </c>
      <c r="B1211">
        <f>IFERROR(FIND('Simulador IR 2025'!$I$29, A1211), 0)</f>
        <v>1</v>
      </c>
      <c r="C1211">
        <f>IF(B1211&gt;0, MAX($C$2:C1210)+1, "")</f>
        <v>1209</v>
      </c>
      <c r="D1211" t="str">
        <f t="shared" si="18"/>
        <v/>
      </c>
    </row>
    <row r="1212" spans="1:4">
      <c r="A1212" s="42" t="s">
        <v>1274</v>
      </c>
      <c r="B1212">
        <f>IFERROR(FIND('Simulador IR 2025'!$I$29, A1212), 0)</f>
        <v>1</v>
      </c>
      <c r="C1212">
        <f>IF(B1212&gt;0, MAX($C$2:C1211)+1, "")</f>
        <v>1210</v>
      </c>
      <c r="D1212" t="str">
        <f t="shared" si="18"/>
        <v/>
      </c>
    </row>
    <row r="1213" spans="1:4">
      <c r="A1213" s="42" t="s">
        <v>1275</v>
      </c>
      <c r="B1213">
        <f>IFERROR(FIND('Simulador IR 2025'!$I$29, A1213), 0)</f>
        <v>1</v>
      </c>
      <c r="C1213">
        <f>IF(B1213&gt;0, MAX($C$2:C1212)+1, "")</f>
        <v>1211</v>
      </c>
      <c r="D1213" t="str">
        <f t="shared" si="18"/>
        <v/>
      </c>
    </row>
    <row r="1214" spans="1:4">
      <c r="A1214" s="42" t="s">
        <v>1276</v>
      </c>
      <c r="B1214">
        <f>IFERROR(FIND('Simulador IR 2025'!$I$29, A1214), 0)</f>
        <v>1</v>
      </c>
      <c r="C1214">
        <f>IF(B1214&gt;0, MAX($C$2:C1213)+1, "")</f>
        <v>1212</v>
      </c>
      <c r="D1214" t="str">
        <f t="shared" si="18"/>
        <v/>
      </c>
    </row>
    <row r="1215" spans="1:4">
      <c r="A1215" s="42" t="s">
        <v>1277</v>
      </c>
      <c r="B1215">
        <f>IFERROR(FIND('Simulador IR 2025'!$I$29, A1215), 0)</f>
        <v>1</v>
      </c>
      <c r="C1215">
        <f>IF(B1215&gt;0, MAX($C$2:C1214)+1, "")</f>
        <v>1213</v>
      </c>
      <c r="D1215" t="str">
        <f t="shared" si="18"/>
        <v/>
      </c>
    </row>
    <row r="1216" spans="1:4">
      <c r="A1216" s="42" t="s">
        <v>1278</v>
      </c>
      <c r="B1216">
        <f>IFERROR(FIND('Simulador IR 2025'!$I$29, A1216), 0)</f>
        <v>1</v>
      </c>
      <c r="C1216">
        <f>IF(B1216&gt;0, MAX($C$2:C1215)+1, "")</f>
        <v>1214</v>
      </c>
      <c r="D1216" t="str">
        <f t="shared" si="18"/>
        <v/>
      </c>
    </row>
    <row r="1217" spans="1:4">
      <c r="A1217" s="42" t="s">
        <v>1279</v>
      </c>
      <c r="B1217">
        <f>IFERROR(FIND('Simulador IR 2025'!$I$29, A1217), 0)</f>
        <v>1</v>
      </c>
      <c r="C1217">
        <f>IF(B1217&gt;0, MAX($C$2:C1216)+1, "")</f>
        <v>1215</v>
      </c>
      <c r="D1217" t="str">
        <f t="shared" si="18"/>
        <v/>
      </c>
    </row>
    <row r="1218" spans="1:4">
      <c r="A1218" s="42" t="s">
        <v>1280</v>
      </c>
      <c r="B1218">
        <f>IFERROR(FIND('Simulador IR 2025'!$I$29, A1218), 0)</f>
        <v>1</v>
      </c>
      <c r="C1218">
        <f>IF(B1218&gt;0, MAX($C$2:C1217)+1, "")</f>
        <v>1216</v>
      </c>
      <c r="D1218" t="str">
        <f t="shared" si="18"/>
        <v/>
      </c>
    </row>
    <row r="1219" spans="1:4">
      <c r="A1219" s="42" t="s">
        <v>1281</v>
      </c>
      <c r="B1219">
        <f>IFERROR(FIND('Simulador IR 2025'!$I$29, A1219), 0)</f>
        <v>1</v>
      </c>
      <c r="C1219">
        <f>IF(B1219&gt;0, MAX($C$2:C1218)+1, "")</f>
        <v>1217</v>
      </c>
      <c r="D1219" t="str">
        <f t="shared" si="18"/>
        <v/>
      </c>
    </row>
    <row r="1220" spans="1:4">
      <c r="A1220" s="42" t="s">
        <v>1282</v>
      </c>
      <c r="B1220">
        <f>IFERROR(FIND('Simulador IR 2025'!$I$29, A1220), 0)</f>
        <v>1</v>
      </c>
      <c r="C1220">
        <f>IF(B1220&gt;0, MAX($C$2:C1219)+1, "")</f>
        <v>1218</v>
      </c>
      <c r="D1220" t="str">
        <f t="shared" ref="D1220:D1283" si="19">IFERROR(VLOOKUP(ROW(A1218), $A$3:$C$2681, -2, FALSE), "")</f>
        <v/>
      </c>
    </row>
    <row r="1221" spans="1:4">
      <c r="A1221" s="42" t="s">
        <v>1283</v>
      </c>
      <c r="B1221">
        <f>IFERROR(FIND('Simulador IR 2025'!$I$29, A1221), 0)</f>
        <v>1</v>
      </c>
      <c r="C1221">
        <f>IF(B1221&gt;0, MAX($C$2:C1220)+1, "")</f>
        <v>1219</v>
      </c>
      <c r="D1221" t="str">
        <f t="shared" si="19"/>
        <v/>
      </c>
    </row>
    <row r="1222" spans="1:4">
      <c r="A1222" s="42" t="s">
        <v>1284</v>
      </c>
      <c r="B1222">
        <f>IFERROR(FIND('Simulador IR 2025'!$I$29, A1222), 0)</f>
        <v>1</v>
      </c>
      <c r="C1222">
        <f>IF(B1222&gt;0, MAX($C$2:C1221)+1, "")</f>
        <v>1220</v>
      </c>
      <c r="D1222" t="str">
        <f t="shared" si="19"/>
        <v/>
      </c>
    </row>
    <row r="1223" spans="1:4">
      <c r="A1223" s="42" t="s">
        <v>1285</v>
      </c>
      <c r="B1223">
        <f>IFERROR(FIND('Simulador IR 2025'!$I$29, A1223), 0)</f>
        <v>1</v>
      </c>
      <c r="C1223">
        <f>IF(B1223&gt;0, MAX($C$2:C1222)+1, "")</f>
        <v>1221</v>
      </c>
      <c r="D1223" t="str">
        <f t="shared" si="19"/>
        <v/>
      </c>
    </row>
    <row r="1224" spans="1:4">
      <c r="A1224" s="42" t="s">
        <v>1286</v>
      </c>
      <c r="B1224">
        <f>IFERROR(FIND('Simulador IR 2025'!$I$29, A1224), 0)</f>
        <v>1</v>
      </c>
      <c r="C1224">
        <f>IF(B1224&gt;0, MAX($C$2:C1223)+1, "")</f>
        <v>1222</v>
      </c>
      <c r="D1224" t="str">
        <f t="shared" si="19"/>
        <v/>
      </c>
    </row>
    <row r="1225" spans="1:4">
      <c r="A1225" s="42" t="s">
        <v>1287</v>
      </c>
      <c r="B1225">
        <f>IFERROR(FIND('Simulador IR 2025'!$I$29, A1225), 0)</f>
        <v>1</v>
      </c>
      <c r="C1225">
        <f>IF(B1225&gt;0, MAX($C$2:C1224)+1, "")</f>
        <v>1223</v>
      </c>
      <c r="D1225" t="str">
        <f t="shared" si="19"/>
        <v/>
      </c>
    </row>
    <row r="1226" spans="1:4">
      <c r="A1226" s="42" t="s">
        <v>1288</v>
      </c>
      <c r="B1226">
        <f>IFERROR(FIND('Simulador IR 2025'!$I$29, A1226), 0)</f>
        <v>1</v>
      </c>
      <c r="C1226">
        <f>IF(B1226&gt;0, MAX($C$2:C1225)+1, "")</f>
        <v>1224</v>
      </c>
      <c r="D1226" t="str">
        <f t="shared" si="19"/>
        <v/>
      </c>
    </row>
    <row r="1227" spans="1:4">
      <c r="A1227" s="42" t="s">
        <v>1289</v>
      </c>
      <c r="B1227">
        <f>IFERROR(FIND('Simulador IR 2025'!$I$29, A1227), 0)</f>
        <v>1</v>
      </c>
      <c r="C1227">
        <f>IF(B1227&gt;0, MAX($C$2:C1226)+1, "")</f>
        <v>1225</v>
      </c>
      <c r="D1227" t="str">
        <f t="shared" si="19"/>
        <v/>
      </c>
    </row>
    <row r="1228" spans="1:4">
      <c r="A1228" s="42" t="s">
        <v>1290</v>
      </c>
      <c r="B1228">
        <f>IFERROR(FIND('Simulador IR 2025'!$I$29, A1228), 0)</f>
        <v>1</v>
      </c>
      <c r="C1228">
        <f>IF(B1228&gt;0, MAX($C$2:C1227)+1, "")</f>
        <v>1226</v>
      </c>
      <c r="D1228" t="str">
        <f t="shared" si="19"/>
        <v/>
      </c>
    </row>
    <row r="1229" spans="1:4">
      <c r="A1229" s="42" t="s">
        <v>1291</v>
      </c>
      <c r="B1229">
        <f>IFERROR(FIND('Simulador IR 2025'!$I$29, A1229), 0)</f>
        <v>1</v>
      </c>
      <c r="C1229">
        <f>IF(B1229&gt;0, MAX($C$2:C1228)+1, "")</f>
        <v>1227</v>
      </c>
      <c r="D1229" t="str">
        <f t="shared" si="19"/>
        <v/>
      </c>
    </row>
    <row r="1230" spans="1:4">
      <c r="A1230" s="42" t="s">
        <v>1292</v>
      </c>
      <c r="B1230">
        <f>IFERROR(FIND('Simulador IR 2025'!$I$29, A1230), 0)</f>
        <v>1</v>
      </c>
      <c r="C1230">
        <f>IF(B1230&gt;0, MAX($C$2:C1229)+1, "")</f>
        <v>1228</v>
      </c>
      <c r="D1230" t="str">
        <f t="shared" si="19"/>
        <v/>
      </c>
    </row>
    <row r="1231" spans="1:4">
      <c r="A1231" s="42" t="s">
        <v>1293</v>
      </c>
      <c r="B1231">
        <f>IFERROR(FIND('Simulador IR 2025'!$I$29, A1231), 0)</f>
        <v>1</v>
      </c>
      <c r="C1231">
        <f>IF(B1231&gt;0, MAX($C$2:C1230)+1, "")</f>
        <v>1229</v>
      </c>
      <c r="D1231" t="str">
        <f t="shared" si="19"/>
        <v/>
      </c>
    </row>
    <row r="1232" spans="1:4">
      <c r="A1232" s="42" t="s">
        <v>1294</v>
      </c>
      <c r="B1232">
        <f>IFERROR(FIND('Simulador IR 2025'!$I$29, A1232), 0)</f>
        <v>1</v>
      </c>
      <c r="C1232">
        <f>IF(B1232&gt;0, MAX($C$2:C1231)+1, "")</f>
        <v>1230</v>
      </c>
      <c r="D1232" t="str">
        <f t="shared" si="19"/>
        <v/>
      </c>
    </row>
    <row r="1233" spans="1:4">
      <c r="A1233" s="42" t="s">
        <v>1295</v>
      </c>
      <c r="B1233">
        <f>IFERROR(FIND('Simulador IR 2025'!$I$29, A1233), 0)</f>
        <v>1</v>
      </c>
      <c r="C1233">
        <f>IF(B1233&gt;0, MAX($C$2:C1232)+1, "")</f>
        <v>1231</v>
      </c>
      <c r="D1233" t="str">
        <f t="shared" si="19"/>
        <v/>
      </c>
    </row>
    <row r="1234" spans="1:4">
      <c r="A1234" s="42" t="s">
        <v>1296</v>
      </c>
      <c r="B1234">
        <f>IFERROR(FIND('Simulador IR 2025'!$I$29, A1234), 0)</f>
        <v>1</v>
      </c>
      <c r="C1234">
        <f>IF(B1234&gt;0, MAX($C$2:C1233)+1, "")</f>
        <v>1232</v>
      </c>
      <c r="D1234" t="str">
        <f t="shared" si="19"/>
        <v/>
      </c>
    </row>
    <row r="1235" spans="1:4">
      <c r="A1235" s="42" t="s">
        <v>1297</v>
      </c>
      <c r="B1235">
        <f>IFERROR(FIND('Simulador IR 2025'!$I$29, A1235), 0)</f>
        <v>1</v>
      </c>
      <c r="C1235">
        <f>IF(B1235&gt;0, MAX($C$2:C1234)+1, "")</f>
        <v>1233</v>
      </c>
      <c r="D1235" t="str">
        <f t="shared" si="19"/>
        <v/>
      </c>
    </row>
    <row r="1236" spans="1:4">
      <c r="A1236" s="42" t="s">
        <v>1298</v>
      </c>
      <c r="B1236">
        <f>IFERROR(FIND('Simulador IR 2025'!$I$29, A1236), 0)</f>
        <v>1</v>
      </c>
      <c r="C1236">
        <f>IF(B1236&gt;0, MAX($C$2:C1235)+1, "")</f>
        <v>1234</v>
      </c>
      <c r="D1236" t="str">
        <f t="shared" si="19"/>
        <v/>
      </c>
    </row>
    <row r="1237" spans="1:4">
      <c r="A1237" s="42" t="s">
        <v>1299</v>
      </c>
      <c r="B1237">
        <f>IFERROR(FIND('Simulador IR 2025'!$I$29, A1237), 0)</f>
        <v>1</v>
      </c>
      <c r="C1237">
        <f>IF(B1237&gt;0, MAX($C$2:C1236)+1, "")</f>
        <v>1235</v>
      </c>
      <c r="D1237" t="str">
        <f t="shared" si="19"/>
        <v/>
      </c>
    </row>
    <row r="1238" spans="1:4">
      <c r="A1238" s="42" t="s">
        <v>1300</v>
      </c>
      <c r="B1238">
        <f>IFERROR(FIND('Simulador IR 2025'!$I$29, A1238), 0)</f>
        <v>1</v>
      </c>
      <c r="C1238">
        <f>IF(B1238&gt;0, MAX($C$2:C1237)+1, "")</f>
        <v>1236</v>
      </c>
      <c r="D1238" t="str">
        <f t="shared" si="19"/>
        <v/>
      </c>
    </row>
    <row r="1239" spans="1:4">
      <c r="A1239" s="42" t="s">
        <v>1301</v>
      </c>
      <c r="B1239">
        <f>IFERROR(FIND('Simulador IR 2025'!$I$29, A1239), 0)</f>
        <v>1</v>
      </c>
      <c r="C1239">
        <f>IF(B1239&gt;0, MAX($C$2:C1238)+1, "")</f>
        <v>1237</v>
      </c>
      <c r="D1239" t="str">
        <f t="shared" si="19"/>
        <v/>
      </c>
    </row>
    <row r="1240" spans="1:4">
      <c r="A1240" s="42" t="s">
        <v>1302</v>
      </c>
      <c r="B1240">
        <f>IFERROR(FIND('Simulador IR 2025'!$I$29, A1240), 0)</f>
        <v>1</v>
      </c>
      <c r="C1240">
        <f>IF(B1240&gt;0, MAX($C$2:C1239)+1, "")</f>
        <v>1238</v>
      </c>
      <c r="D1240" t="str">
        <f t="shared" si="19"/>
        <v/>
      </c>
    </row>
    <row r="1241" spans="1:4">
      <c r="A1241" s="42" t="s">
        <v>1303</v>
      </c>
      <c r="B1241">
        <f>IFERROR(FIND('Simulador IR 2025'!$I$29, A1241), 0)</f>
        <v>1</v>
      </c>
      <c r="C1241">
        <f>IF(B1241&gt;0, MAX($C$2:C1240)+1, "")</f>
        <v>1239</v>
      </c>
      <c r="D1241" t="str">
        <f t="shared" si="19"/>
        <v/>
      </c>
    </row>
    <row r="1242" spans="1:4">
      <c r="A1242" s="42" t="s">
        <v>1304</v>
      </c>
      <c r="B1242">
        <f>IFERROR(FIND('Simulador IR 2025'!$I$29, A1242), 0)</f>
        <v>1</v>
      </c>
      <c r="C1242">
        <f>IF(B1242&gt;0, MAX($C$2:C1241)+1, "")</f>
        <v>1240</v>
      </c>
      <c r="D1242" t="str">
        <f t="shared" si="19"/>
        <v/>
      </c>
    </row>
    <row r="1243" spans="1:4">
      <c r="A1243" s="42" t="s">
        <v>1305</v>
      </c>
      <c r="B1243">
        <f>IFERROR(FIND('Simulador IR 2025'!$I$29, A1243), 0)</f>
        <v>1</v>
      </c>
      <c r="C1243">
        <f>IF(B1243&gt;0, MAX($C$2:C1242)+1, "")</f>
        <v>1241</v>
      </c>
      <c r="D1243" t="str">
        <f t="shared" si="19"/>
        <v/>
      </c>
    </row>
    <row r="1244" spans="1:4">
      <c r="A1244" s="42" t="s">
        <v>1306</v>
      </c>
      <c r="B1244">
        <f>IFERROR(FIND('Simulador IR 2025'!$I$29, A1244), 0)</f>
        <v>1</v>
      </c>
      <c r="C1244">
        <f>IF(B1244&gt;0, MAX($C$2:C1243)+1, "")</f>
        <v>1242</v>
      </c>
      <c r="D1244" t="str">
        <f t="shared" si="19"/>
        <v/>
      </c>
    </row>
    <row r="1245" spans="1:4">
      <c r="A1245" s="42" t="s">
        <v>1307</v>
      </c>
      <c r="B1245">
        <f>IFERROR(FIND('Simulador IR 2025'!$I$29, A1245), 0)</f>
        <v>1</v>
      </c>
      <c r="C1245">
        <f>IF(B1245&gt;0, MAX($C$2:C1244)+1, "")</f>
        <v>1243</v>
      </c>
      <c r="D1245" t="str">
        <f t="shared" si="19"/>
        <v/>
      </c>
    </row>
    <row r="1246" spans="1:4">
      <c r="A1246" s="42" t="s">
        <v>1308</v>
      </c>
      <c r="B1246">
        <f>IFERROR(FIND('Simulador IR 2025'!$I$29, A1246), 0)</f>
        <v>1</v>
      </c>
      <c r="C1246">
        <f>IF(B1246&gt;0, MAX($C$2:C1245)+1, "")</f>
        <v>1244</v>
      </c>
      <c r="D1246" t="str">
        <f t="shared" si="19"/>
        <v/>
      </c>
    </row>
    <row r="1247" spans="1:4">
      <c r="A1247" s="42" t="s">
        <v>1309</v>
      </c>
      <c r="B1247">
        <f>IFERROR(FIND('Simulador IR 2025'!$I$29, A1247), 0)</f>
        <v>1</v>
      </c>
      <c r="C1247">
        <f>IF(B1247&gt;0, MAX($C$2:C1246)+1, "")</f>
        <v>1245</v>
      </c>
      <c r="D1247" t="str">
        <f t="shared" si="19"/>
        <v/>
      </c>
    </row>
    <row r="1248" spans="1:4">
      <c r="A1248" s="42" t="s">
        <v>1310</v>
      </c>
      <c r="B1248">
        <f>IFERROR(FIND('Simulador IR 2025'!$I$29, A1248), 0)</f>
        <v>1</v>
      </c>
      <c r="C1248">
        <f>IF(B1248&gt;0, MAX($C$2:C1247)+1, "")</f>
        <v>1246</v>
      </c>
      <c r="D1248" t="str">
        <f t="shared" si="19"/>
        <v/>
      </c>
    </row>
    <row r="1249" spans="1:4">
      <c r="A1249" s="42" t="s">
        <v>1311</v>
      </c>
      <c r="B1249">
        <f>IFERROR(FIND('Simulador IR 2025'!$I$29, A1249), 0)</f>
        <v>1</v>
      </c>
      <c r="C1249">
        <f>IF(B1249&gt;0, MAX($C$2:C1248)+1, "")</f>
        <v>1247</v>
      </c>
      <c r="D1249" t="str">
        <f t="shared" si="19"/>
        <v/>
      </c>
    </row>
    <row r="1250" spans="1:4">
      <c r="A1250" s="42" t="s">
        <v>1312</v>
      </c>
      <c r="B1250">
        <f>IFERROR(FIND('Simulador IR 2025'!$I$29, A1250), 0)</f>
        <v>1</v>
      </c>
      <c r="C1250">
        <f>IF(B1250&gt;0, MAX($C$2:C1249)+1, "")</f>
        <v>1248</v>
      </c>
      <c r="D1250" t="str">
        <f t="shared" si="19"/>
        <v/>
      </c>
    </row>
    <row r="1251" spans="1:4">
      <c r="A1251" s="42" t="s">
        <v>1313</v>
      </c>
      <c r="B1251">
        <f>IFERROR(FIND('Simulador IR 2025'!$I$29, A1251), 0)</f>
        <v>1</v>
      </c>
      <c r="C1251">
        <f>IF(B1251&gt;0, MAX($C$2:C1250)+1, "")</f>
        <v>1249</v>
      </c>
      <c r="D1251" t="str">
        <f t="shared" si="19"/>
        <v/>
      </c>
    </row>
    <row r="1252" spans="1:4">
      <c r="A1252" s="42" t="s">
        <v>1314</v>
      </c>
      <c r="B1252">
        <f>IFERROR(FIND('Simulador IR 2025'!$I$29, A1252), 0)</f>
        <v>1</v>
      </c>
      <c r="C1252">
        <f>IF(B1252&gt;0, MAX($C$2:C1251)+1, "")</f>
        <v>1250</v>
      </c>
      <c r="D1252" t="str">
        <f t="shared" si="19"/>
        <v/>
      </c>
    </row>
    <row r="1253" spans="1:4">
      <c r="A1253" s="42" t="s">
        <v>1315</v>
      </c>
      <c r="B1253">
        <f>IFERROR(FIND('Simulador IR 2025'!$I$29, A1253), 0)</f>
        <v>1</v>
      </c>
      <c r="C1253">
        <f>IF(B1253&gt;0, MAX($C$2:C1252)+1, "")</f>
        <v>1251</v>
      </c>
      <c r="D1253" t="str">
        <f t="shared" si="19"/>
        <v/>
      </c>
    </row>
    <row r="1254" spans="1:4">
      <c r="A1254" s="42" t="s">
        <v>1316</v>
      </c>
      <c r="B1254">
        <f>IFERROR(FIND('Simulador IR 2025'!$I$29, A1254), 0)</f>
        <v>1</v>
      </c>
      <c r="C1254">
        <f>IF(B1254&gt;0, MAX($C$2:C1253)+1, "")</f>
        <v>1252</v>
      </c>
      <c r="D1254" t="str">
        <f t="shared" si="19"/>
        <v/>
      </c>
    </row>
    <row r="1255" spans="1:4">
      <c r="A1255" s="42" t="s">
        <v>1317</v>
      </c>
      <c r="B1255">
        <f>IFERROR(FIND('Simulador IR 2025'!$I$29, A1255), 0)</f>
        <v>1</v>
      </c>
      <c r="C1255">
        <f>IF(B1255&gt;0, MAX($C$2:C1254)+1, "")</f>
        <v>1253</v>
      </c>
      <c r="D1255" t="str">
        <f t="shared" si="19"/>
        <v/>
      </c>
    </row>
    <row r="1256" spans="1:4">
      <c r="A1256" s="42" t="s">
        <v>1318</v>
      </c>
      <c r="B1256">
        <f>IFERROR(FIND('Simulador IR 2025'!$I$29, A1256), 0)</f>
        <v>1</v>
      </c>
      <c r="C1256">
        <f>IF(B1256&gt;0, MAX($C$2:C1255)+1, "")</f>
        <v>1254</v>
      </c>
      <c r="D1256" t="str">
        <f t="shared" si="19"/>
        <v/>
      </c>
    </row>
    <row r="1257" spans="1:4">
      <c r="A1257" s="42" t="s">
        <v>1319</v>
      </c>
      <c r="B1257">
        <f>IFERROR(FIND('Simulador IR 2025'!$I$29, A1257), 0)</f>
        <v>1</v>
      </c>
      <c r="C1257">
        <f>IF(B1257&gt;0, MAX($C$2:C1256)+1, "")</f>
        <v>1255</v>
      </c>
      <c r="D1257" t="str">
        <f t="shared" si="19"/>
        <v/>
      </c>
    </row>
    <row r="1258" spans="1:4">
      <c r="A1258" s="42" t="s">
        <v>1320</v>
      </c>
      <c r="B1258">
        <f>IFERROR(FIND('Simulador IR 2025'!$I$29, A1258), 0)</f>
        <v>1</v>
      </c>
      <c r="C1258">
        <f>IF(B1258&gt;0, MAX($C$2:C1257)+1, "")</f>
        <v>1256</v>
      </c>
      <c r="D1258" t="str">
        <f t="shared" si="19"/>
        <v/>
      </c>
    </row>
    <row r="1259" spans="1:4">
      <c r="A1259" s="42" t="s">
        <v>1321</v>
      </c>
      <c r="B1259">
        <f>IFERROR(FIND('Simulador IR 2025'!$I$29, A1259), 0)</f>
        <v>1</v>
      </c>
      <c r="C1259">
        <f>IF(B1259&gt;0, MAX($C$2:C1258)+1, "")</f>
        <v>1257</v>
      </c>
      <c r="D1259" t="str">
        <f t="shared" si="19"/>
        <v/>
      </c>
    </row>
    <row r="1260" spans="1:4">
      <c r="A1260" s="42" t="s">
        <v>1322</v>
      </c>
      <c r="B1260">
        <f>IFERROR(FIND('Simulador IR 2025'!$I$29, A1260), 0)</f>
        <v>1</v>
      </c>
      <c r="C1260">
        <f>IF(B1260&gt;0, MAX($C$2:C1259)+1, "")</f>
        <v>1258</v>
      </c>
      <c r="D1260" t="str">
        <f t="shared" si="19"/>
        <v/>
      </c>
    </row>
    <row r="1261" spans="1:4">
      <c r="A1261" s="42" t="s">
        <v>1323</v>
      </c>
      <c r="B1261">
        <f>IFERROR(FIND('Simulador IR 2025'!$I$29, A1261), 0)</f>
        <v>1</v>
      </c>
      <c r="C1261">
        <f>IF(B1261&gt;0, MAX($C$2:C1260)+1, "")</f>
        <v>1259</v>
      </c>
      <c r="D1261" t="str">
        <f t="shared" si="19"/>
        <v/>
      </c>
    </row>
    <row r="1262" spans="1:4">
      <c r="A1262" s="42" t="s">
        <v>1324</v>
      </c>
      <c r="B1262">
        <f>IFERROR(FIND('Simulador IR 2025'!$I$29, A1262), 0)</f>
        <v>1</v>
      </c>
      <c r="C1262">
        <f>IF(B1262&gt;0, MAX($C$2:C1261)+1, "")</f>
        <v>1260</v>
      </c>
      <c r="D1262" t="str">
        <f t="shared" si="19"/>
        <v/>
      </c>
    </row>
    <row r="1263" spans="1:4">
      <c r="A1263" s="42" t="s">
        <v>1325</v>
      </c>
      <c r="B1263">
        <f>IFERROR(FIND('Simulador IR 2025'!$I$29, A1263), 0)</f>
        <v>1</v>
      </c>
      <c r="C1263">
        <f>IF(B1263&gt;0, MAX($C$2:C1262)+1, "")</f>
        <v>1261</v>
      </c>
      <c r="D1263" t="str">
        <f t="shared" si="19"/>
        <v/>
      </c>
    </row>
    <row r="1264" spans="1:4">
      <c r="A1264" s="42" t="s">
        <v>1326</v>
      </c>
      <c r="B1264">
        <f>IFERROR(FIND('Simulador IR 2025'!$I$29, A1264), 0)</f>
        <v>1</v>
      </c>
      <c r="C1264">
        <f>IF(B1264&gt;0, MAX($C$2:C1263)+1, "")</f>
        <v>1262</v>
      </c>
      <c r="D1264" t="str">
        <f t="shared" si="19"/>
        <v/>
      </c>
    </row>
    <row r="1265" spans="1:4">
      <c r="A1265" s="42" t="s">
        <v>1327</v>
      </c>
      <c r="B1265">
        <f>IFERROR(FIND('Simulador IR 2025'!$I$29, A1265), 0)</f>
        <v>1</v>
      </c>
      <c r="C1265">
        <f>IF(B1265&gt;0, MAX($C$2:C1264)+1, "")</f>
        <v>1263</v>
      </c>
      <c r="D1265" t="str">
        <f t="shared" si="19"/>
        <v/>
      </c>
    </row>
    <row r="1266" spans="1:4">
      <c r="A1266" s="42" t="s">
        <v>1328</v>
      </c>
      <c r="B1266">
        <f>IFERROR(FIND('Simulador IR 2025'!$I$29, A1266), 0)</f>
        <v>1</v>
      </c>
      <c r="C1266">
        <f>IF(B1266&gt;0, MAX($C$2:C1265)+1, "")</f>
        <v>1264</v>
      </c>
      <c r="D1266" t="str">
        <f t="shared" si="19"/>
        <v/>
      </c>
    </row>
    <row r="1267" spans="1:4">
      <c r="A1267" s="42" t="s">
        <v>1329</v>
      </c>
      <c r="B1267">
        <f>IFERROR(FIND('Simulador IR 2025'!$I$29, A1267), 0)</f>
        <v>1</v>
      </c>
      <c r="C1267">
        <f>IF(B1267&gt;0, MAX($C$2:C1266)+1, "")</f>
        <v>1265</v>
      </c>
      <c r="D1267" t="str">
        <f t="shared" si="19"/>
        <v/>
      </c>
    </row>
    <row r="1268" spans="1:4">
      <c r="A1268" s="42" t="s">
        <v>1330</v>
      </c>
      <c r="B1268">
        <f>IFERROR(FIND('Simulador IR 2025'!$I$29, A1268), 0)</f>
        <v>1</v>
      </c>
      <c r="C1268">
        <f>IF(B1268&gt;0, MAX($C$2:C1267)+1, "")</f>
        <v>1266</v>
      </c>
      <c r="D1268" t="str">
        <f t="shared" si="19"/>
        <v/>
      </c>
    </row>
    <row r="1269" spans="1:4">
      <c r="A1269" s="42" t="s">
        <v>1331</v>
      </c>
      <c r="B1269">
        <f>IFERROR(FIND('Simulador IR 2025'!$I$29, A1269), 0)</f>
        <v>1</v>
      </c>
      <c r="C1269">
        <f>IF(B1269&gt;0, MAX($C$2:C1268)+1, "")</f>
        <v>1267</v>
      </c>
      <c r="D1269" t="str">
        <f t="shared" si="19"/>
        <v/>
      </c>
    </row>
    <row r="1270" spans="1:4">
      <c r="A1270" s="42" t="s">
        <v>1332</v>
      </c>
      <c r="B1270">
        <f>IFERROR(FIND('Simulador IR 2025'!$I$29, A1270), 0)</f>
        <v>1</v>
      </c>
      <c r="C1270">
        <f>IF(B1270&gt;0, MAX($C$2:C1269)+1, "")</f>
        <v>1268</v>
      </c>
      <c r="D1270" t="str">
        <f t="shared" si="19"/>
        <v/>
      </c>
    </row>
    <row r="1271" spans="1:4">
      <c r="A1271" s="42" t="s">
        <v>1333</v>
      </c>
      <c r="B1271">
        <f>IFERROR(FIND('Simulador IR 2025'!$I$29, A1271), 0)</f>
        <v>1</v>
      </c>
      <c r="C1271">
        <f>IF(B1271&gt;0, MAX($C$2:C1270)+1, "")</f>
        <v>1269</v>
      </c>
      <c r="D1271" t="str">
        <f t="shared" si="19"/>
        <v/>
      </c>
    </row>
    <row r="1272" spans="1:4">
      <c r="A1272" s="42" t="s">
        <v>1334</v>
      </c>
      <c r="B1272">
        <f>IFERROR(FIND('Simulador IR 2025'!$I$29, A1272), 0)</f>
        <v>1</v>
      </c>
      <c r="C1272">
        <f>IF(B1272&gt;0, MAX($C$2:C1271)+1, "")</f>
        <v>1270</v>
      </c>
      <c r="D1272" t="str">
        <f t="shared" si="19"/>
        <v/>
      </c>
    </row>
    <row r="1273" spans="1:4">
      <c r="A1273" s="42" t="s">
        <v>1335</v>
      </c>
      <c r="B1273">
        <f>IFERROR(FIND('Simulador IR 2025'!$I$29, A1273), 0)</f>
        <v>1</v>
      </c>
      <c r="C1273">
        <f>IF(B1273&gt;0, MAX($C$2:C1272)+1, "")</f>
        <v>1271</v>
      </c>
      <c r="D1273" t="str">
        <f t="shared" si="19"/>
        <v/>
      </c>
    </row>
    <row r="1274" spans="1:4">
      <c r="A1274" s="42" t="s">
        <v>1336</v>
      </c>
      <c r="B1274">
        <f>IFERROR(FIND('Simulador IR 2025'!$I$29, A1274), 0)</f>
        <v>1</v>
      </c>
      <c r="C1274">
        <f>IF(B1274&gt;0, MAX($C$2:C1273)+1, "")</f>
        <v>1272</v>
      </c>
      <c r="D1274" t="str">
        <f t="shared" si="19"/>
        <v/>
      </c>
    </row>
    <row r="1275" spans="1:4">
      <c r="A1275" s="42" t="s">
        <v>1337</v>
      </c>
      <c r="B1275">
        <f>IFERROR(FIND('Simulador IR 2025'!$I$29, A1275), 0)</f>
        <v>1</v>
      </c>
      <c r="C1275">
        <f>IF(B1275&gt;0, MAX($C$2:C1274)+1, "")</f>
        <v>1273</v>
      </c>
      <c r="D1275" t="str">
        <f t="shared" si="19"/>
        <v/>
      </c>
    </row>
    <row r="1276" spans="1:4">
      <c r="A1276" s="42" t="s">
        <v>1338</v>
      </c>
      <c r="B1276">
        <f>IFERROR(FIND('Simulador IR 2025'!$I$29, A1276), 0)</f>
        <v>1</v>
      </c>
      <c r="C1276">
        <f>IF(B1276&gt;0, MAX($C$2:C1275)+1, "")</f>
        <v>1274</v>
      </c>
      <c r="D1276" t="str">
        <f t="shared" si="19"/>
        <v/>
      </c>
    </row>
    <row r="1277" spans="1:4">
      <c r="A1277" s="42" t="s">
        <v>1339</v>
      </c>
      <c r="B1277">
        <f>IFERROR(FIND('Simulador IR 2025'!$I$29, A1277), 0)</f>
        <v>1</v>
      </c>
      <c r="C1277">
        <f>IF(B1277&gt;0, MAX($C$2:C1276)+1, "")</f>
        <v>1275</v>
      </c>
      <c r="D1277" t="str">
        <f t="shared" si="19"/>
        <v/>
      </c>
    </row>
    <row r="1278" spans="1:4">
      <c r="A1278" s="42" t="s">
        <v>1340</v>
      </c>
      <c r="B1278">
        <f>IFERROR(FIND('Simulador IR 2025'!$I$29, A1278), 0)</f>
        <v>1</v>
      </c>
      <c r="C1278">
        <f>IF(B1278&gt;0, MAX($C$2:C1277)+1, "")</f>
        <v>1276</v>
      </c>
      <c r="D1278" t="str">
        <f t="shared" si="19"/>
        <v/>
      </c>
    </row>
    <row r="1279" spans="1:4">
      <c r="A1279" s="42" t="s">
        <v>1341</v>
      </c>
      <c r="B1279">
        <f>IFERROR(FIND('Simulador IR 2025'!$I$29, A1279), 0)</f>
        <v>1</v>
      </c>
      <c r="C1279">
        <f>IF(B1279&gt;0, MAX($C$2:C1278)+1, "")</f>
        <v>1277</v>
      </c>
      <c r="D1279" t="str">
        <f t="shared" si="19"/>
        <v/>
      </c>
    </row>
    <row r="1280" spans="1:4">
      <c r="A1280" s="42" t="s">
        <v>1342</v>
      </c>
      <c r="B1280">
        <f>IFERROR(FIND('Simulador IR 2025'!$I$29, A1280), 0)</f>
        <v>1</v>
      </c>
      <c r="C1280">
        <f>IF(B1280&gt;0, MAX($C$2:C1279)+1, "")</f>
        <v>1278</v>
      </c>
      <c r="D1280" t="str">
        <f t="shared" si="19"/>
        <v/>
      </c>
    </row>
    <row r="1281" spans="1:4">
      <c r="A1281" s="42" t="s">
        <v>1343</v>
      </c>
      <c r="B1281">
        <f>IFERROR(FIND('Simulador IR 2025'!$I$29, A1281), 0)</f>
        <v>1</v>
      </c>
      <c r="C1281">
        <f>IF(B1281&gt;0, MAX($C$2:C1280)+1, "")</f>
        <v>1279</v>
      </c>
      <c r="D1281" t="str">
        <f t="shared" si="19"/>
        <v/>
      </c>
    </row>
    <row r="1282" spans="1:4">
      <c r="A1282" s="42" t="s">
        <v>1344</v>
      </c>
      <c r="B1282">
        <f>IFERROR(FIND('Simulador IR 2025'!$I$29, A1282), 0)</f>
        <v>1</v>
      </c>
      <c r="C1282">
        <f>IF(B1282&gt;0, MAX($C$2:C1281)+1, "")</f>
        <v>1280</v>
      </c>
      <c r="D1282" t="str">
        <f t="shared" si="19"/>
        <v/>
      </c>
    </row>
    <row r="1283" spans="1:4">
      <c r="A1283" s="42" t="s">
        <v>1345</v>
      </c>
      <c r="B1283">
        <f>IFERROR(FIND('Simulador IR 2025'!$I$29, A1283), 0)</f>
        <v>1</v>
      </c>
      <c r="C1283">
        <f>IF(B1283&gt;0, MAX($C$2:C1282)+1, "")</f>
        <v>1281</v>
      </c>
      <c r="D1283" t="str">
        <f t="shared" si="19"/>
        <v/>
      </c>
    </row>
    <row r="1284" spans="1:4">
      <c r="A1284" s="42" t="s">
        <v>1346</v>
      </c>
      <c r="B1284">
        <f>IFERROR(FIND('Simulador IR 2025'!$I$29, A1284), 0)</f>
        <v>1</v>
      </c>
      <c r="C1284">
        <f>IF(B1284&gt;0, MAX($C$2:C1283)+1, "")</f>
        <v>1282</v>
      </c>
      <c r="D1284" t="str">
        <f t="shared" ref="D1284:D1347" si="20">IFERROR(VLOOKUP(ROW(A1282), $A$3:$C$2681, -2, FALSE), "")</f>
        <v/>
      </c>
    </row>
    <row r="1285" spans="1:4">
      <c r="A1285" s="42" t="s">
        <v>1347</v>
      </c>
      <c r="B1285">
        <f>IFERROR(FIND('Simulador IR 2025'!$I$29, A1285), 0)</f>
        <v>1</v>
      </c>
      <c r="C1285">
        <f>IF(B1285&gt;0, MAX($C$2:C1284)+1, "")</f>
        <v>1283</v>
      </c>
      <c r="D1285" t="str">
        <f t="shared" si="20"/>
        <v/>
      </c>
    </row>
    <row r="1286" spans="1:4">
      <c r="A1286" s="42" t="s">
        <v>1348</v>
      </c>
      <c r="B1286">
        <f>IFERROR(FIND('Simulador IR 2025'!$I$29, A1286), 0)</f>
        <v>1</v>
      </c>
      <c r="C1286">
        <f>IF(B1286&gt;0, MAX($C$2:C1285)+1, "")</f>
        <v>1284</v>
      </c>
      <c r="D1286" t="str">
        <f t="shared" si="20"/>
        <v/>
      </c>
    </row>
    <row r="1287" spans="1:4">
      <c r="A1287" s="42" t="s">
        <v>1349</v>
      </c>
      <c r="B1287">
        <f>IFERROR(FIND('Simulador IR 2025'!$I$29, A1287), 0)</f>
        <v>1</v>
      </c>
      <c r="C1287">
        <f>IF(B1287&gt;0, MAX($C$2:C1286)+1, "")</f>
        <v>1285</v>
      </c>
      <c r="D1287" t="str">
        <f t="shared" si="20"/>
        <v/>
      </c>
    </row>
    <row r="1288" spans="1:4">
      <c r="A1288" s="42" t="s">
        <v>1350</v>
      </c>
      <c r="B1288">
        <f>IFERROR(FIND('Simulador IR 2025'!$I$29, A1288), 0)</f>
        <v>1</v>
      </c>
      <c r="C1288">
        <f>IF(B1288&gt;0, MAX($C$2:C1287)+1, "")</f>
        <v>1286</v>
      </c>
      <c r="D1288" t="str">
        <f t="shared" si="20"/>
        <v/>
      </c>
    </row>
    <row r="1289" spans="1:4">
      <c r="A1289" s="42" t="s">
        <v>1351</v>
      </c>
      <c r="B1289">
        <f>IFERROR(FIND('Simulador IR 2025'!$I$29, A1289), 0)</f>
        <v>1</v>
      </c>
      <c r="C1289">
        <f>IF(B1289&gt;0, MAX($C$2:C1288)+1, "")</f>
        <v>1287</v>
      </c>
      <c r="D1289" t="str">
        <f t="shared" si="20"/>
        <v/>
      </c>
    </row>
    <row r="1290" spans="1:4">
      <c r="A1290" s="42" t="s">
        <v>1352</v>
      </c>
      <c r="B1290">
        <f>IFERROR(FIND('Simulador IR 2025'!$I$29, A1290), 0)</f>
        <v>1</v>
      </c>
      <c r="C1290">
        <f>IF(B1290&gt;0, MAX($C$2:C1289)+1, "")</f>
        <v>1288</v>
      </c>
      <c r="D1290" t="str">
        <f t="shared" si="20"/>
        <v/>
      </c>
    </row>
    <row r="1291" spans="1:4">
      <c r="A1291" s="42" t="s">
        <v>1353</v>
      </c>
      <c r="B1291">
        <f>IFERROR(FIND('Simulador IR 2025'!$I$29, A1291), 0)</f>
        <v>1</v>
      </c>
      <c r="C1291">
        <f>IF(B1291&gt;0, MAX($C$2:C1290)+1, "")</f>
        <v>1289</v>
      </c>
      <c r="D1291" t="str">
        <f t="shared" si="20"/>
        <v/>
      </c>
    </row>
    <row r="1292" spans="1:4">
      <c r="A1292" s="42" t="s">
        <v>1354</v>
      </c>
      <c r="B1292">
        <f>IFERROR(FIND('Simulador IR 2025'!$I$29, A1292), 0)</f>
        <v>1</v>
      </c>
      <c r="C1292">
        <f>IF(B1292&gt;0, MAX($C$2:C1291)+1, "")</f>
        <v>1290</v>
      </c>
      <c r="D1292" t="str">
        <f t="shared" si="20"/>
        <v/>
      </c>
    </row>
    <row r="1293" spans="1:4">
      <c r="A1293" s="42" t="s">
        <v>1355</v>
      </c>
      <c r="B1293">
        <f>IFERROR(FIND('Simulador IR 2025'!$I$29, A1293), 0)</f>
        <v>1</v>
      </c>
      <c r="C1293">
        <f>IF(B1293&gt;0, MAX($C$2:C1292)+1, "")</f>
        <v>1291</v>
      </c>
      <c r="D1293" t="str">
        <f t="shared" si="20"/>
        <v/>
      </c>
    </row>
    <row r="1294" spans="1:4">
      <c r="A1294" s="42" t="s">
        <v>1356</v>
      </c>
      <c r="B1294">
        <f>IFERROR(FIND('Simulador IR 2025'!$I$29, A1294), 0)</f>
        <v>1</v>
      </c>
      <c r="C1294">
        <f>IF(B1294&gt;0, MAX($C$2:C1293)+1, "")</f>
        <v>1292</v>
      </c>
      <c r="D1294" t="str">
        <f t="shared" si="20"/>
        <v/>
      </c>
    </row>
    <row r="1295" spans="1:4">
      <c r="A1295" s="42" t="s">
        <v>1357</v>
      </c>
      <c r="B1295">
        <f>IFERROR(FIND('Simulador IR 2025'!$I$29, A1295), 0)</f>
        <v>1</v>
      </c>
      <c r="C1295">
        <f>IF(B1295&gt;0, MAX($C$2:C1294)+1, "")</f>
        <v>1293</v>
      </c>
      <c r="D1295" t="str">
        <f t="shared" si="20"/>
        <v/>
      </c>
    </row>
    <row r="1296" spans="1:4">
      <c r="A1296" s="42" t="s">
        <v>1358</v>
      </c>
      <c r="B1296">
        <f>IFERROR(FIND('Simulador IR 2025'!$I$29, A1296), 0)</f>
        <v>1</v>
      </c>
      <c r="C1296">
        <f>IF(B1296&gt;0, MAX($C$2:C1295)+1, "")</f>
        <v>1294</v>
      </c>
      <c r="D1296" t="str">
        <f t="shared" si="20"/>
        <v/>
      </c>
    </row>
    <row r="1297" spans="1:4">
      <c r="A1297" s="42" t="s">
        <v>1359</v>
      </c>
      <c r="B1297">
        <f>IFERROR(FIND('Simulador IR 2025'!$I$29, A1297), 0)</f>
        <v>1</v>
      </c>
      <c r="C1297">
        <f>IF(B1297&gt;0, MAX($C$2:C1296)+1, "")</f>
        <v>1295</v>
      </c>
      <c r="D1297" t="str">
        <f t="shared" si="20"/>
        <v/>
      </c>
    </row>
    <row r="1298" spans="1:4">
      <c r="A1298" s="42" t="s">
        <v>1360</v>
      </c>
      <c r="B1298">
        <f>IFERROR(FIND('Simulador IR 2025'!$I$29, A1298), 0)</f>
        <v>1</v>
      </c>
      <c r="C1298">
        <f>IF(B1298&gt;0, MAX($C$2:C1297)+1, "")</f>
        <v>1296</v>
      </c>
      <c r="D1298" t="str">
        <f t="shared" si="20"/>
        <v/>
      </c>
    </row>
    <row r="1299" spans="1:4">
      <c r="A1299" s="42" t="s">
        <v>1361</v>
      </c>
      <c r="B1299">
        <f>IFERROR(FIND('Simulador IR 2025'!$I$29, A1299), 0)</f>
        <v>1</v>
      </c>
      <c r="C1299">
        <f>IF(B1299&gt;0, MAX($C$2:C1298)+1, "")</f>
        <v>1297</v>
      </c>
      <c r="D1299" t="str">
        <f t="shared" si="20"/>
        <v/>
      </c>
    </row>
    <row r="1300" spans="1:4">
      <c r="A1300" s="42" t="s">
        <v>1362</v>
      </c>
      <c r="B1300">
        <f>IFERROR(FIND('Simulador IR 2025'!$I$29, A1300), 0)</f>
        <v>1</v>
      </c>
      <c r="C1300">
        <f>IF(B1300&gt;0, MAX($C$2:C1299)+1, "")</f>
        <v>1298</v>
      </c>
      <c r="D1300" t="str">
        <f t="shared" si="20"/>
        <v/>
      </c>
    </row>
    <row r="1301" spans="1:4">
      <c r="A1301" s="42" t="s">
        <v>1363</v>
      </c>
      <c r="B1301">
        <f>IFERROR(FIND('Simulador IR 2025'!$I$29, A1301), 0)</f>
        <v>1</v>
      </c>
      <c r="C1301">
        <f>IF(B1301&gt;0, MAX($C$2:C1300)+1, "")</f>
        <v>1299</v>
      </c>
      <c r="D1301" t="str">
        <f t="shared" si="20"/>
        <v/>
      </c>
    </row>
    <row r="1302" spans="1:4">
      <c r="A1302" s="42" t="s">
        <v>1364</v>
      </c>
      <c r="B1302">
        <f>IFERROR(FIND('Simulador IR 2025'!$I$29, A1302), 0)</f>
        <v>1</v>
      </c>
      <c r="C1302">
        <f>IF(B1302&gt;0, MAX($C$2:C1301)+1, "")</f>
        <v>1300</v>
      </c>
      <c r="D1302" t="str">
        <f t="shared" si="20"/>
        <v/>
      </c>
    </row>
    <row r="1303" spans="1:4">
      <c r="A1303" s="42" t="s">
        <v>1365</v>
      </c>
      <c r="B1303">
        <f>IFERROR(FIND('Simulador IR 2025'!$I$29, A1303), 0)</f>
        <v>1</v>
      </c>
      <c r="C1303">
        <f>IF(B1303&gt;0, MAX($C$2:C1302)+1, "")</f>
        <v>1301</v>
      </c>
      <c r="D1303" t="str">
        <f t="shared" si="20"/>
        <v/>
      </c>
    </row>
    <row r="1304" spans="1:4">
      <c r="A1304" s="42" t="s">
        <v>1366</v>
      </c>
      <c r="B1304">
        <f>IFERROR(FIND('Simulador IR 2025'!$I$29, A1304), 0)</f>
        <v>1</v>
      </c>
      <c r="C1304">
        <f>IF(B1304&gt;0, MAX($C$2:C1303)+1, "")</f>
        <v>1302</v>
      </c>
      <c r="D1304" t="str">
        <f t="shared" si="20"/>
        <v/>
      </c>
    </row>
    <row r="1305" spans="1:4">
      <c r="A1305" s="42" t="s">
        <v>1367</v>
      </c>
      <c r="B1305">
        <f>IFERROR(FIND('Simulador IR 2025'!$I$29, A1305), 0)</f>
        <v>1</v>
      </c>
      <c r="C1305">
        <f>IF(B1305&gt;0, MAX($C$2:C1304)+1, "")</f>
        <v>1303</v>
      </c>
      <c r="D1305" t="str">
        <f t="shared" si="20"/>
        <v/>
      </c>
    </row>
    <row r="1306" spans="1:4">
      <c r="A1306" s="42" t="s">
        <v>1368</v>
      </c>
      <c r="B1306">
        <f>IFERROR(FIND('Simulador IR 2025'!$I$29, A1306), 0)</f>
        <v>1</v>
      </c>
      <c r="C1306">
        <f>IF(B1306&gt;0, MAX($C$2:C1305)+1, "")</f>
        <v>1304</v>
      </c>
      <c r="D1306" t="str">
        <f t="shared" si="20"/>
        <v/>
      </c>
    </row>
    <row r="1307" spans="1:4">
      <c r="A1307" s="42" t="s">
        <v>1369</v>
      </c>
      <c r="B1307">
        <f>IFERROR(FIND('Simulador IR 2025'!$I$29, A1307), 0)</f>
        <v>1</v>
      </c>
      <c r="C1307">
        <f>IF(B1307&gt;0, MAX($C$2:C1306)+1, "")</f>
        <v>1305</v>
      </c>
      <c r="D1307" t="str">
        <f t="shared" si="20"/>
        <v/>
      </c>
    </row>
    <row r="1308" spans="1:4">
      <c r="A1308" s="42" t="s">
        <v>1370</v>
      </c>
      <c r="B1308">
        <f>IFERROR(FIND('Simulador IR 2025'!$I$29, A1308), 0)</f>
        <v>1</v>
      </c>
      <c r="C1308">
        <f>IF(B1308&gt;0, MAX($C$2:C1307)+1, "")</f>
        <v>1306</v>
      </c>
      <c r="D1308" t="str">
        <f t="shared" si="20"/>
        <v/>
      </c>
    </row>
    <row r="1309" spans="1:4">
      <c r="A1309" s="42" t="s">
        <v>1371</v>
      </c>
      <c r="B1309">
        <f>IFERROR(FIND('Simulador IR 2025'!$I$29, A1309), 0)</f>
        <v>1</v>
      </c>
      <c r="C1309">
        <f>IF(B1309&gt;0, MAX($C$2:C1308)+1, "")</f>
        <v>1307</v>
      </c>
      <c r="D1309" t="str">
        <f t="shared" si="20"/>
        <v/>
      </c>
    </row>
    <row r="1310" spans="1:4">
      <c r="A1310" s="42" t="s">
        <v>1372</v>
      </c>
      <c r="B1310">
        <f>IFERROR(FIND('Simulador IR 2025'!$I$29, A1310), 0)</f>
        <v>1</v>
      </c>
      <c r="C1310">
        <f>IF(B1310&gt;0, MAX($C$2:C1309)+1, "")</f>
        <v>1308</v>
      </c>
      <c r="D1310" t="str">
        <f t="shared" si="20"/>
        <v/>
      </c>
    </row>
    <row r="1311" spans="1:4">
      <c r="A1311" s="42" t="s">
        <v>1373</v>
      </c>
      <c r="B1311">
        <f>IFERROR(FIND('Simulador IR 2025'!$I$29, A1311), 0)</f>
        <v>1</v>
      </c>
      <c r="C1311">
        <f>IF(B1311&gt;0, MAX($C$2:C1310)+1, "")</f>
        <v>1309</v>
      </c>
      <c r="D1311" t="str">
        <f t="shared" si="20"/>
        <v/>
      </c>
    </row>
    <row r="1312" spans="1:4">
      <c r="A1312" s="42" t="s">
        <v>1374</v>
      </c>
      <c r="B1312">
        <f>IFERROR(FIND('Simulador IR 2025'!$I$29, A1312), 0)</f>
        <v>1</v>
      </c>
      <c r="C1312">
        <f>IF(B1312&gt;0, MAX($C$2:C1311)+1, "")</f>
        <v>1310</v>
      </c>
      <c r="D1312" t="str">
        <f t="shared" si="20"/>
        <v/>
      </c>
    </row>
    <row r="1313" spans="1:4">
      <c r="A1313" s="42" t="s">
        <v>1375</v>
      </c>
      <c r="B1313">
        <f>IFERROR(FIND('Simulador IR 2025'!$I$29, A1313), 0)</f>
        <v>1</v>
      </c>
      <c r="C1313">
        <f>IF(B1313&gt;0, MAX($C$2:C1312)+1, "")</f>
        <v>1311</v>
      </c>
      <c r="D1313" t="str">
        <f t="shared" si="20"/>
        <v/>
      </c>
    </row>
    <row r="1314" spans="1:4">
      <c r="A1314" s="42" t="s">
        <v>1376</v>
      </c>
      <c r="B1314">
        <f>IFERROR(FIND('Simulador IR 2025'!$I$29, A1314), 0)</f>
        <v>1</v>
      </c>
      <c r="C1314">
        <f>IF(B1314&gt;0, MAX($C$2:C1313)+1, "")</f>
        <v>1312</v>
      </c>
      <c r="D1314" t="str">
        <f t="shared" si="20"/>
        <v/>
      </c>
    </row>
    <row r="1315" spans="1:4">
      <c r="A1315" s="42" t="s">
        <v>1377</v>
      </c>
      <c r="B1315">
        <f>IFERROR(FIND('Simulador IR 2025'!$I$29, A1315), 0)</f>
        <v>1</v>
      </c>
      <c r="C1315">
        <f>IF(B1315&gt;0, MAX($C$2:C1314)+1, "")</f>
        <v>1313</v>
      </c>
      <c r="D1315" t="str">
        <f t="shared" si="20"/>
        <v/>
      </c>
    </row>
    <row r="1316" spans="1:4">
      <c r="A1316" s="42" t="s">
        <v>1378</v>
      </c>
      <c r="B1316">
        <f>IFERROR(FIND('Simulador IR 2025'!$I$29, A1316), 0)</f>
        <v>1</v>
      </c>
      <c r="C1316">
        <f>IF(B1316&gt;0, MAX($C$2:C1315)+1, "")</f>
        <v>1314</v>
      </c>
      <c r="D1316" t="str">
        <f t="shared" si="20"/>
        <v/>
      </c>
    </row>
    <row r="1317" spans="1:4">
      <c r="A1317" s="42" t="s">
        <v>1379</v>
      </c>
      <c r="B1317">
        <f>IFERROR(FIND('Simulador IR 2025'!$I$29, A1317), 0)</f>
        <v>1</v>
      </c>
      <c r="C1317">
        <f>IF(B1317&gt;0, MAX($C$2:C1316)+1, "")</f>
        <v>1315</v>
      </c>
      <c r="D1317" t="str">
        <f t="shared" si="20"/>
        <v/>
      </c>
    </row>
    <row r="1318" spans="1:4">
      <c r="A1318" s="42" t="s">
        <v>1380</v>
      </c>
      <c r="B1318">
        <f>IFERROR(FIND('Simulador IR 2025'!$I$29, A1318), 0)</f>
        <v>1</v>
      </c>
      <c r="C1318">
        <f>IF(B1318&gt;0, MAX($C$2:C1317)+1, "")</f>
        <v>1316</v>
      </c>
      <c r="D1318" t="str">
        <f t="shared" si="20"/>
        <v/>
      </c>
    </row>
    <row r="1319" spans="1:4">
      <c r="A1319" s="42" t="s">
        <v>1381</v>
      </c>
      <c r="B1319">
        <f>IFERROR(FIND('Simulador IR 2025'!$I$29, A1319), 0)</f>
        <v>1</v>
      </c>
      <c r="C1319">
        <f>IF(B1319&gt;0, MAX($C$2:C1318)+1, "")</f>
        <v>1317</v>
      </c>
      <c r="D1319" t="str">
        <f t="shared" si="20"/>
        <v/>
      </c>
    </row>
    <row r="1320" spans="1:4">
      <c r="A1320" s="42" t="s">
        <v>1382</v>
      </c>
      <c r="B1320">
        <f>IFERROR(FIND('Simulador IR 2025'!$I$29, A1320), 0)</f>
        <v>1</v>
      </c>
      <c r="C1320">
        <f>IF(B1320&gt;0, MAX($C$2:C1319)+1, "")</f>
        <v>1318</v>
      </c>
      <c r="D1320" t="str">
        <f t="shared" si="20"/>
        <v/>
      </c>
    </row>
    <row r="1321" spans="1:4">
      <c r="A1321" s="42" t="s">
        <v>1383</v>
      </c>
      <c r="B1321">
        <f>IFERROR(FIND('Simulador IR 2025'!$I$29, A1321), 0)</f>
        <v>1</v>
      </c>
      <c r="C1321">
        <f>IF(B1321&gt;0, MAX($C$2:C1320)+1, "")</f>
        <v>1319</v>
      </c>
      <c r="D1321" t="str">
        <f t="shared" si="20"/>
        <v/>
      </c>
    </row>
    <row r="1322" spans="1:4">
      <c r="A1322" s="42" t="s">
        <v>1384</v>
      </c>
      <c r="B1322">
        <f>IFERROR(FIND('Simulador IR 2025'!$I$29, A1322), 0)</f>
        <v>1</v>
      </c>
      <c r="C1322">
        <f>IF(B1322&gt;0, MAX($C$2:C1321)+1, "")</f>
        <v>1320</v>
      </c>
      <c r="D1322" t="str">
        <f t="shared" si="20"/>
        <v/>
      </c>
    </row>
    <row r="1323" spans="1:4">
      <c r="A1323" s="42" t="s">
        <v>1385</v>
      </c>
      <c r="B1323">
        <f>IFERROR(FIND('Simulador IR 2025'!$I$29, A1323), 0)</f>
        <v>1</v>
      </c>
      <c r="C1323">
        <f>IF(B1323&gt;0, MAX($C$2:C1322)+1, "")</f>
        <v>1321</v>
      </c>
      <c r="D1323" t="str">
        <f t="shared" si="20"/>
        <v/>
      </c>
    </row>
    <row r="1324" spans="1:4">
      <c r="A1324" s="42" t="s">
        <v>1386</v>
      </c>
      <c r="B1324">
        <f>IFERROR(FIND('Simulador IR 2025'!$I$29, A1324), 0)</f>
        <v>1</v>
      </c>
      <c r="C1324">
        <f>IF(B1324&gt;0, MAX($C$2:C1323)+1, "")</f>
        <v>1322</v>
      </c>
      <c r="D1324" t="str">
        <f t="shared" si="20"/>
        <v/>
      </c>
    </row>
    <row r="1325" spans="1:4">
      <c r="A1325" s="42" t="s">
        <v>1387</v>
      </c>
      <c r="B1325">
        <f>IFERROR(FIND('Simulador IR 2025'!$I$29, A1325), 0)</f>
        <v>1</v>
      </c>
      <c r="C1325">
        <f>IF(B1325&gt;0, MAX($C$2:C1324)+1, "")</f>
        <v>1323</v>
      </c>
      <c r="D1325" t="str">
        <f t="shared" si="20"/>
        <v/>
      </c>
    </row>
    <row r="1326" spans="1:4">
      <c r="A1326" s="42" t="s">
        <v>1388</v>
      </c>
      <c r="B1326">
        <f>IFERROR(FIND('Simulador IR 2025'!$I$29, A1326), 0)</f>
        <v>1</v>
      </c>
      <c r="C1326">
        <f>IF(B1326&gt;0, MAX($C$2:C1325)+1, "")</f>
        <v>1324</v>
      </c>
      <c r="D1326" t="str">
        <f t="shared" si="20"/>
        <v/>
      </c>
    </row>
    <row r="1327" spans="1:4">
      <c r="A1327" s="42" t="s">
        <v>1389</v>
      </c>
      <c r="B1327">
        <f>IFERROR(FIND('Simulador IR 2025'!$I$29, A1327), 0)</f>
        <v>1</v>
      </c>
      <c r="C1327">
        <f>IF(B1327&gt;0, MAX($C$2:C1326)+1, "")</f>
        <v>1325</v>
      </c>
      <c r="D1327" t="str">
        <f t="shared" si="20"/>
        <v/>
      </c>
    </row>
    <row r="1328" spans="1:4">
      <c r="A1328" s="42" t="s">
        <v>1390</v>
      </c>
      <c r="B1328">
        <f>IFERROR(FIND('Simulador IR 2025'!$I$29, A1328), 0)</f>
        <v>1</v>
      </c>
      <c r="C1328">
        <f>IF(B1328&gt;0, MAX($C$2:C1327)+1, "")</f>
        <v>1326</v>
      </c>
      <c r="D1328" t="str">
        <f t="shared" si="20"/>
        <v/>
      </c>
    </row>
    <row r="1329" spans="1:4">
      <c r="A1329" s="42" t="s">
        <v>1391</v>
      </c>
      <c r="B1329">
        <f>IFERROR(FIND('Simulador IR 2025'!$I$29, A1329), 0)</f>
        <v>1</v>
      </c>
      <c r="C1329">
        <f>IF(B1329&gt;0, MAX($C$2:C1328)+1, "")</f>
        <v>1327</v>
      </c>
      <c r="D1329" t="str">
        <f t="shared" si="20"/>
        <v/>
      </c>
    </row>
    <row r="1330" spans="1:4">
      <c r="A1330" s="42" t="s">
        <v>1392</v>
      </c>
      <c r="B1330">
        <f>IFERROR(FIND('Simulador IR 2025'!$I$29, A1330), 0)</f>
        <v>1</v>
      </c>
      <c r="C1330">
        <f>IF(B1330&gt;0, MAX($C$2:C1329)+1, "")</f>
        <v>1328</v>
      </c>
      <c r="D1330" t="str">
        <f t="shared" si="20"/>
        <v/>
      </c>
    </row>
    <row r="1331" spans="1:4">
      <c r="A1331" s="42" t="s">
        <v>1393</v>
      </c>
      <c r="B1331">
        <f>IFERROR(FIND('Simulador IR 2025'!$I$29, A1331), 0)</f>
        <v>1</v>
      </c>
      <c r="C1331">
        <f>IF(B1331&gt;0, MAX($C$2:C1330)+1, "")</f>
        <v>1329</v>
      </c>
      <c r="D1331" t="str">
        <f t="shared" si="20"/>
        <v/>
      </c>
    </row>
    <row r="1332" spans="1:4">
      <c r="A1332" s="42" t="s">
        <v>1394</v>
      </c>
      <c r="B1332">
        <f>IFERROR(FIND('Simulador IR 2025'!$I$29, A1332), 0)</f>
        <v>1</v>
      </c>
      <c r="C1332">
        <f>IF(B1332&gt;0, MAX($C$2:C1331)+1, "")</f>
        <v>1330</v>
      </c>
      <c r="D1332" t="str">
        <f t="shared" si="20"/>
        <v/>
      </c>
    </row>
    <row r="1333" spans="1:4">
      <c r="A1333" s="42" t="s">
        <v>1395</v>
      </c>
      <c r="B1333">
        <f>IFERROR(FIND('Simulador IR 2025'!$I$29, A1333), 0)</f>
        <v>1</v>
      </c>
      <c r="C1333">
        <f>IF(B1333&gt;0, MAX($C$2:C1332)+1, "")</f>
        <v>1331</v>
      </c>
      <c r="D1333" t="str">
        <f t="shared" si="20"/>
        <v/>
      </c>
    </row>
    <row r="1334" spans="1:4">
      <c r="A1334" s="42" t="s">
        <v>1396</v>
      </c>
      <c r="B1334">
        <f>IFERROR(FIND('Simulador IR 2025'!$I$29, A1334), 0)</f>
        <v>1</v>
      </c>
      <c r="C1334">
        <f>IF(B1334&gt;0, MAX($C$2:C1333)+1, "")</f>
        <v>1332</v>
      </c>
      <c r="D1334" t="str">
        <f t="shared" si="20"/>
        <v/>
      </c>
    </row>
    <row r="1335" spans="1:4">
      <c r="A1335" s="42" t="s">
        <v>1397</v>
      </c>
      <c r="B1335">
        <f>IFERROR(FIND('Simulador IR 2025'!$I$29, A1335), 0)</f>
        <v>1</v>
      </c>
      <c r="C1335">
        <f>IF(B1335&gt;0, MAX($C$2:C1334)+1, "")</f>
        <v>1333</v>
      </c>
      <c r="D1335" t="str">
        <f t="shared" si="20"/>
        <v/>
      </c>
    </row>
    <row r="1336" spans="1:4">
      <c r="A1336" s="42" t="s">
        <v>1398</v>
      </c>
      <c r="B1336">
        <f>IFERROR(FIND('Simulador IR 2025'!$I$29, A1336), 0)</f>
        <v>1</v>
      </c>
      <c r="C1336">
        <f>IF(B1336&gt;0, MAX($C$2:C1335)+1, "")</f>
        <v>1334</v>
      </c>
      <c r="D1336" t="str">
        <f t="shared" si="20"/>
        <v/>
      </c>
    </row>
    <row r="1337" spans="1:4">
      <c r="A1337" s="42" t="s">
        <v>1399</v>
      </c>
      <c r="B1337">
        <f>IFERROR(FIND('Simulador IR 2025'!$I$29, A1337), 0)</f>
        <v>1</v>
      </c>
      <c r="C1337">
        <f>IF(B1337&gt;0, MAX($C$2:C1336)+1, "")</f>
        <v>1335</v>
      </c>
      <c r="D1337" t="str">
        <f t="shared" si="20"/>
        <v/>
      </c>
    </row>
    <row r="1338" spans="1:4">
      <c r="A1338" s="42" t="s">
        <v>1400</v>
      </c>
      <c r="B1338">
        <f>IFERROR(FIND('Simulador IR 2025'!$I$29, A1338), 0)</f>
        <v>1</v>
      </c>
      <c r="C1338">
        <f>IF(B1338&gt;0, MAX($C$2:C1337)+1, "")</f>
        <v>1336</v>
      </c>
      <c r="D1338" t="str">
        <f t="shared" si="20"/>
        <v/>
      </c>
    </row>
    <row r="1339" spans="1:4">
      <c r="A1339" s="42" t="s">
        <v>1401</v>
      </c>
      <c r="B1339">
        <f>IFERROR(FIND('Simulador IR 2025'!$I$29, A1339), 0)</f>
        <v>1</v>
      </c>
      <c r="C1339">
        <f>IF(B1339&gt;0, MAX($C$2:C1338)+1, "")</f>
        <v>1337</v>
      </c>
      <c r="D1339" t="str">
        <f t="shared" si="20"/>
        <v/>
      </c>
    </row>
    <row r="1340" spans="1:4">
      <c r="A1340" s="42" t="s">
        <v>1402</v>
      </c>
      <c r="B1340">
        <f>IFERROR(FIND('Simulador IR 2025'!$I$29, A1340), 0)</f>
        <v>1</v>
      </c>
      <c r="C1340">
        <f>IF(B1340&gt;0, MAX($C$2:C1339)+1, "")</f>
        <v>1338</v>
      </c>
      <c r="D1340" t="str">
        <f t="shared" si="20"/>
        <v/>
      </c>
    </row>
    <row r="1341" spans="1:4">
      <c r="A1341" s="42" t="s">
        <v>1403</v>
      </c>
      <c r="B1341">
        <f>IFERROR(FIND('Simulador IR 2025'!$I$29, A1341), 0)</f>
        <v>1</v>
      </c>
      <c r="C1341">
        <f>IF(B1341&gt;0, MAX($C$2:C1340)+1, "")</f>
        <v>1339</v>
      </c>
      <c r="D1341" t="str">
        <f t="shared" si="20"/>
        <v/>
      </c>
    </row>
    <row r="1342" spans="1:4">
      <c r="A1342" s="42" t="s">
        <v>1404</v>
      </c>
      <c r="B1342">
        <f>IFERROR(FIND('Simulador IR 2025'!$I$29, A1342), 0)</f>
        <v>1</v>
      </c>
      <c r="C1342">
        <f>IF(B1342&gt;0, MAX($C$2:C1341)+1, "")</f>
        <v>1340</v>
      </c>
      <c r="D1342" t="str">
        <f t="shared" si="20"/>
        <v/>
      </c>
    </row>
    <row r="1343" spans="1:4">
      <c r="A1343" s="42" t="s">
        <v>1405</v>
      </c>
      <c r="B1343">
        <f>IFERROR(FIND('Simulador IR 2025'!$I$29, A1343), 0)</f>
        <v>1</v>
      </c>
      <c r="C1343">
        <f>IF(B1343&gt;0, MAX($C$2:C1342)+1, "")</f>
        <v>1341</v>
      </c>
      <c r="D1343" t="str">
        <f t="shared" si="20"/>
        <v/>
      </c>
    </row>
    <row r="1344" spans="1:4">
      <c r="A1344" s="42" t="s">
        <v>1406</v>
      </c>
      <c r="B1344">
        <f>IFERROR(FIND('Simulador IR 2025'!$I$29, A1344), 0)</f>
        <v>1</v>
      </c>
      <c r="C1344">
        <f>IF(B1344&gt;0, MAX($C$2:C1343)+1, "")</f>
        <v>1342</v>
      </c>
      <c r="D1344" t="str">
        <f t="shared" si="20"/>
        <v/>
      </c>
    </row>
    <row r="1345" spans="1:4">
      <c r="A1345" s="42" t="s">
        <v>1407</v>
      </c>
      <c r="B1345">
        <f>IFERROR(FIND('Simulador IR 2025'!$I$29, A1345), 0)</f>
        <v>1</v>
      </c>
      <c r="C1345">
        <f>IF(B1345&gt;0, MAX($C$2:C1344)+1, "")</f>
        <v>1343</v>
      </c>
      <c r="D1345" t="str">
        <f t="shared" si="20"/>
        <v/>
      </c>
    </row>
    <row r="1346" spans="1:4">
      <c r="A1346" s="42" t="s">
        <v>1408</v>
      </c>
      <c r="B1346">
        <f>IFERROR(FIND('Simulador IR 2025'!$I$29, A1346), 0)</f>
        <v>1</v>
      </c>
      <c r="C1346">
        <f>IF(B1346&gt;0, MAX($C$2:C1345)+1, "")</f>
        <v>1344</v>
      </c>
      <c r="D1346" t="str">
        <f t="shared" si="20"/>
        <v/>
      </c>
    </row>
    <row r="1347" spans="1:4">
      <c r="A1347" s="42" t="s">
        <v>1409</v>
      </c>
      <c r="B1347">
        <f>IFERROR(FIND('Simulador IR 2025'!$I$29, A1347), 0)</f>
        <v>1</v>
      </c>
      <c r="C1347">
        <f>IF(B1347&gt;0, MAX($C$2:C1346)+1, "")</f>
        <v>1345</v>
      </c>
      <c r="D1347" t="str">
        <f t="shared" si="20"/>
        <v/>
      </c>
    </row>
    <row r="1348" spans="1:4">
      <c r="A1348" s="42" t="s">
        <v>1410</v>
      </c>
      <c r="B1348">
        <f>IFERROR(FIND('Simulador IR 2025'!$I$29, A1348), 0)</f>
        <v>1</v>
      </c>
      <c r="C1348">
        <f>IF(B1348&gt;0, MAX($C$2:C1347)+1, "")</f>
        <v>1346</v>
      </c>
      <c r="D1348" t="str">
        <f t="shared" ref="D1348:D1411" si="21">IFERROR(VLOOKUP(ROW(A1346), $A$3:$C$2681, -2, FALSE), "")</f>
        <v/>
      </c>
    </row>
    <row r="1349" spans="1:4">
      <c r="A1349" s="42" t="s">
        <v>1411</v>
      </c>
      <c r="B1349">
        <f>IFERROR(FIND('Simulador IR 2025'!$I$29, A1349), 0)</f>
        <v>1</v>
      </c>
      <c r="C1349">
        <f>IF(B1349&gt;0, MAX($C$2:C1348)+1, "")</f>
        <v>1347</v>
      </c>
      <c r="D1349" t="str">
        <f t="shared" si="21"/>
        <v/>
      </c>
    </row>
    <row r="1350" spans="1:4">
      <c r="A1350" s="42" t="s">
        <v>1412</v>
      </c>
      <c r="B1350">
        <f>IFERROR(FIND('Simulador IR 2025'!$I$29, A1350), 0)</f>
        <v>1</v>
      </c>
      <c r="C1350">
        <f>IF(B1350&gt;0, MAX($C$2:C1349)+1, "")</f>
        <v>1348</v>
      </c>
      <c r="D1350" t="str">
        <f t="shared" si="21"/>
        <v/>
      </c>
    </row>
    <row r="1351" spans="1:4">
      <c r="A1351" s="42" t="s">
        <v>1413</v>
      </c>
      <c r="B1351">
        <f>IFERROR(FIND('Simulador IR 2025'!$I$29, A1351), 0)</f>
        <v>1</v>
      </c>
      <c r="C1351">
        <f>IF(B1351&gt;0, MAX($C$2:C1350)+1, "")</f>
        <v>1349</v>
      </c>
      <c r="D1351" t="str">
        <f t="shared" si="21"/>
        <v/>
      </c>
    </row>
    <row r="1352" spans="1:4">
      <c r="A1352" s="42" t="s">
        <v>1414</v>
      </c>
      <c r="B1352">
        <f>IFERROR(FIND('Simulador IR 2025'!$I$29, A1352), 0)</f>
        <v>1</v>
      </c>
      <c r="C1352">
        <f>IF(B1352&gt;0, MAX($C$2:C1351)+1, "")</f>
        <v>1350</v>
      </c>
      <c r="D1352" t="str">
        <f t="shared" si="21"/>
        <v/>
      </c>
    </row>
    <row r="1353" spans="1:4">
      <c r="A1353" s="42" t="s">
        <v>1415</v>
      </c>
      <c r="B1353">
        <f>IFERROR(FIND('Simulador IR 2025'!$I$29, A1353), 0)</f>
        <v>1</v>
      </c>
      <c r="C1353">
        <f>IF(B1353&gt;0, MAX($C$2:C1352)+1, "")</f>
        <v>1351</v>
      </c>
      <c r="D1353" t="str">
        <f t="shared" si="21"/>
        <v/>
      </c>
    </row>
    <row r="1354" spans="1:4">
      <c r="A1354" s="42" t="s">
        <v>1416</v>
      </c>
      <c r="B1354">
        <f>IFERROR(FIND('Simulador IR 2025'!$I$29, A1354), 0)</f>
        <v>1</v>
      </c>
      <c r="C1354">
        <f>IF(B1354&gt;0, MAX($C$2:C1353)+1, "")</f>
        <v>1352</v>
      </c>
      <c r="D1354" t="str">
        <f t="shared" si="21"/>
        <v/>
      </c>
    </row>
    <row r="1355" spans="1:4">
      <c r="A1355" s="42" t="s">
        <v>1417</v>
      </c>
      <c r="B1355">
        <f>IFERROR(FIND('Simulador IR 2025'!$I$29, A1355), 0)</f>
        <v>1</v>
      </c>
      <c r="C1355">
        <f>IF(B1355&gt;0, MAX($C$2:C1354)+1, "")</f>
        <v>1353</v>
      </c>
      <c r="D1355" t="str">
        <f t="shared" si="21"/>
        <v/>
      </c>
    </row>
    <row r="1356" spans="1:4">
      <c r="A1356" s="42" t="s">
        <v>1418</v>
      </c>
      <c r="B1356">
        <f>IFERROR(FIND('Simulador IR 2025'!$I$29, A1356), 0)</f>
        <v>1</v>
      </c>
      <c r="C1356">
        <f>IF(B1356&gt;0, MAX($C$2:C1355)+1, "")</f>
        <v>1354</v>
      </c>
      <c r="D1356" t="str">
        <f t="shared" si="21"/>
        <v/>
      </c>
    </row>
    <row r="1357" spans="1:4">
      <c r="A1357" s="42" t="s">
        <v>1419</v>
      </c>
      <c r="B1357">
        <f>IFERROR(FIND('Simulador IR 2025'!$I$29, A1357), 0)</f>
        <v>1</v>
      </c>
      <c r="C1357">
        <f>IF(B1357&gt;0, MAX($C$2:C1356)+1, "")</f>
        <v>1355</v>
      </c>
      <c r="D1357" t="str">
        <f t="shared" si="21"/>
        <v/>
      </c>
    </row>
    <row r="1358" spans="1:4">
      <c r="A1358" s="42" t="s">
        <v>1420</v>
      </c>
      <c r="B1358">
        <f>IFERROR(FIND('Simulador IR 2025'!$I$29, A1358), 0)</f>
        <v>1</v>
      </c>
      <c r="C1358">
        <f>IF(B1358&gt;0, MAX($C$2:C1357)+1, "")</f>
        <v>1356</v>
      </c>
      <c r="D1358" t="str">
        <f t="shared" si="21"/>
        <v/>
      </c>
    </row>
    <row r="1359" spans="1:4">
      <c r="A1359" s="42" t="s">
        <v>1421</v>
      </c>
      <c r="B1359">
        <f>IFERROR(FIND('Simulador IR 2025'!$I$29, A1359), 0)</f>
        <v>1</v>
      </c>
      <c r="C1359">
        <f>IF(B1359&gt;0, MAX($C$2:C1358)+1, "")</f>
        <v>1357</v>
      </c>
      <c r="D1359" t="str">
        <f t="shared" si="21"/>
        <v/>
      </c>
    </row>
    <row r="1360" spans="1:4">
      <c r="A1360" s="42" t="s">
        <v>1422</v>
      </c>
      <c r="B1360">
        <f>IFERROR(FIND('Simulador IR 2025'!$I$29, A1360), 0)</f>
        <v>1</v>
      </c>
      <c r="C1360">
        <f>IF(B1360&gt;0, MAX($C$2:C1359)+1, "")</f>
        <v>1358</v>
      </c>
      <c r="D1360" t="str">
        <f t="shared" si="21"/>
        <v/>
      </c>
    </row>
    <row r="1361" spans="1:4">
      <c r="A1361" s="42" t="s">
        <v>1423</v>
      </c>
      <c r="B1361">
        <f>IFERROR(FIND('Simulador IR 2025'!$I$29, A1361), 0)</f>
        <v>1</v>
      </c>
      <c r="C1361">
        <f>IF(B1361&gt;0, MAX($C$2:C1360)+1, "")</f>
        <v>1359</v>
      </c>
      <c r="D1361" t="str">
        <f t="shared" si="21"/>
        <v/>
      </c>
    </row>
    <row r="1362" spans="1:4">
      <c r="A1362" s="42" t="s">
        <v>1424</v>
      </c>
      <c r="B1362">
        <f>IFERROR(FIND('Simulador IR 2025'!$I$29, A1362), 0)</f>
        <v>1</v>
      </c>
      <c r="C1362">
        <f>IF(B1362&gt;0, MAX($C$2:C1361)+1, "")</f>
        <v>1360</v>
      </c>
      <c r="D1362" t="str">
        <f t="shared" si="21"/>
        <v/>
      </c>
    </row>
    <row r="1363" spans="1:4">
      <c r="A1363" s="42" t="s">
        <v>1425</v>
      </c>
      <c r="B1363">
        <f>IFERROR(FIND('Simulador IR 2025'!$I$29, A1363), 0)</f>
        <v>1</v>
      </c>
      <c r="C1363">
        <f>IF(B1363&gt;0, MAX($C$2:C1362)+1, "")</f>
        <v>1361</v>
      </c>
      <c r="D1363" t="str">
        <f t="shared" si="21"/>
        <v/>
      </c>
    </row>
    <row r="1364" spans="1:4">
      <c r="A1364" s="42" t="s">
        <v>1426</v>
      </c>
      <c r="B1364">
        <f>IFERROR(FIND('Simulador IR 2025'!$I$29, A1364), 0)</f>
        <v>1</v>
      </c>
      <c r="C1364">
        <f>IF(B1364&gt;0, MAX($C$2:C1363)+1, "")</f>
        <v>1362</v>
      </c>
      <c r="D1364" t="str">
        <f t="shared" si="21"/>
        <v/>
      </c>
    </row>
    <row r="1365" spans="1:4">
      <c r="A1365" s="42" t="s">
        <v>1427</v>
      </c>
      <c r="B1365">
        <f>IFERROR(FIND('Simulador IR 2025'!$I$29, A1365), 0)</f>
        <v>1</v>
      </c>
      <c r="C1365">
        <f>IF(B1365&gt;0, MAX($C$2:C1364)+1, "")</f>
        <v>1363</v>
      </c>
      <c r="D1365" t="str">
        <f t="shared" si="21"/>
        <v/>
      </c>
    </row>
    <row r="1366" spans="1:4">
      <c r="A1366" s="42" t="s">
        <v>1428</v>
      </c>
      <c r="B1366">
        <f>IFERROR(FIND('Simulador IR 2025'!$I$29, A1366), 0)</f>
        <v>1</v>
      </c>
      <c r="C1366">
        <f>IF(B1366&gt;0, MAX($C$2:C1365)+1, "")</f>
        <v>1364</v>
      </c>
      <c r="D1366" t="str">
        <f t="shared" si="21"/>
        <v/>
      </c>
    </row>
    <row r="1367" spans="1:4">
      <c r="A1367" s="42" t="s">
        <v>1429</v>
      </c>
      <c r="B1367">
        <f>IFERROR(FIND('Simulador IR 2025'!$I$29, A1367), 0)</f>
        <v>1</v>
      </c>
      <c r="C1367">
        <f>IF(B1367&gt;0, MAX($C$2:C1366)+1, "")</f>
        <v>1365</v>
      </c>
      <c r="D1367" t="str">
        <f t="shared" si="21"/>
        <v/>
      </c>
    </row>
    <row r="1368" spans="1:4">
      <c r="A1368" s="42" t="s">
        <v>1430</v>
      </c>
      <c r="B1368">
        <f>IFERROR(FIND('Simulador IR 2025'!$I$29, A1368), 0)</f>
        <v>1</v>
      </c>
      <c r="C1368">
        <f>IF(B1368&gt;0, MAX($C$2:C1367)+1, "")</f>
        <v>1366</v>
      </c>
      <c r="D1368" t="str">
        <f t="shared" si="21"/>
        <v/>
      </c>
    </row>
    <row r="1369" spans="1:4">
      <c r="A1369" s="42" t="s">
        <v>1431</v>
      </c>
      <c r="B1369">
        <f>IFERROR(FIND('Simulador IR 2025'!$I$29, A1369), 0)</f>
        <v>1</v>
      </c>
      <c r="C1369">
        <f>IF(B1369&gt;0, MAX($C$2:C1368)+1, "")</f>
        <v>1367</v>
      </c>
      <c r="D1369" t="str">
        <f t="shared" si="21"/>
        <v/>
      </c>
    </row>
    <row r="1370" spans="1:4">
      <c r="A1370" s="42" t="s">
        <v>1432</v>
      </c>
      <c r="B1370">
        <f>IFERROR(FIND('Simulador IR 2025'!$I$29, A1370), 0)</f>
        <v>1</v>
      </c>
      <c r="C1370">
        <f>IF(B1370&gt;0, MAX($C$2:C1369)+1, "")</f>
        <v>1368</v>
      </c>
      <c r="D1370" t="str">
        <f t="shared" si="21"/>
        <v/>
      </c>
    </row>
    <row r="1371" spans="1:4">
      <c r="A1371" s="42" t="s">
        <v>1433</v>
      </c>
      <c r="B1371">
        <f>IFERROR(FIND('Simulador IR 2025'!$I$29, A1371), 0)</f>
        <v>1</v>
      </c>
      <c r="C1371">
        <f>IF(B1371&gt;0, MAX($C$2:C1370)+1, "")</f>
        <v>1369</v>
      </c>
      <c r="D1371" t="str">
        <f t="shared" si="21"/>
        <v/>
      </c>
    </row>
    <row r="1372" spans="1:4">
      <c r="A1372" s="42" t="s">
        <v>1434</v>
      </c>
      <c r="B1372">
        <f>IFERROR(FIND('Simulador IR 2025'!$I$29, A1372), 0)</f>
        <v>1</v>
      </c>
      <c r="C1372">
        <f>IF(B1372&gt;0, MAX($C$2:C1371)+1, "")</f>
        <v>1370</v>
      </c>
      <c r="D1372" t="str">
        <f t="shared" si="21"/>
        <v/>
      </c>
    </row>
    <row r="1373" spans="1:4">
      <c r="A1373" s="42" t="s">
        <v>1435</v>
      </c>
      <c r="B1373">
        <f>IFERROR(FIND('Simulador IR 2025'!$I$29, A1373), 0)</f>
        <v>1</v>
      </c>
      <c r="C1373">
        <f>IF(B1373&gt;0, MAX($C$2:C1372)+1, "")</f>
        <v>1371</v>
      </c>
      <c r="D1373" t="str">
        <f t="shared" si="21"/>
        <v/>
      </c>
    </row>
    <row r="1374" spans="1:4">
      <c r="A1374" s="42" t="s">
        <v>1436</v>
      </c>
      <c r="B1374">
        <f>IFERROR(FIND('Simulador IR 2025'!$I$29, A1374), 0)</f>
        <v>1</v>
      </c>
      <c r="C1374">
        <f>IF(B1374&gt;0, MAX($C$2:C1373)+1, "")</f>
        <v>1372</v>
      </c>
      <c r="D1374" t="str">
        <f t="shared" si="21"/>
        <v/>
      </c>
    </row>
    <row r="1375" spans="1:4">
      <c r="A1375" s="42" t="s">
        <v>1437</v>
      </c>
      <c r="B1375">
        <f>IFERROR(FIND('Simulador IR 2025'!$I$29, A1375), 0)</f>
        <v>1</v>
      </c>
      <c r="C1375">
        <f>IF(B1375&gt;0, MAX($C$2:C1374)+1, "")</f>
        <v>1373</v>
      </c>
      <c r="D1375" t="str">
        <f t="shared" si="21"/>
        <v/>
      </c>
    </row>
    <row r="1376" spans="1:4">
      <c r="A1376" s="42" t="s">
        <v>1438</v>
      </c>
      <c r="B1376">
        <f>IFERROR(FIND('Simulador IR 2025'!$I$29, A1376), 0)</f>
        <v>1</v>
      </c>
      <c r="C1376">
        <f>IF(B1376&gt;0, MAX($C$2:C1375)+1, "")</f>
        <v>1374</v>
      </c>
      <c r="D1376" t="str">
        <f t="shared" si="21"/>
        <v/>
      </c>
    </row>
    <row r="1377" spans="1:4">
      <c r="A1377" s="42" t="s">
        <v>1439</v>
      </c>
      <c r="B1377">
        <f>IFERROR(FIND('Simulador IR 2025'!$I$29, A1377), 0)</f>
        <v>1</v>
      </c>
      <c r="C1377">
        <f>IF(B1377&gt;0, MAX($C$2:C1376)+1, "")</f>
        <v>1375</v>
      </c>
      <c r="D1377" t="str">
        <f t="shared" si="21"/>
        <v/>
      </c>
    </row>
    <row r="1378" spans="1:4">
      <c r="A1378" s="42" t="s">
        <v>1440</v>
      </c>
      <c r="B1378">
        <f>IFERROR(FIND('Simulador IR 2025'!$I$29, A1378), 0)</f>
        <v>1</v>
      </c>
      <c r="C1378">
        <f>IF(B1378&gt;0, MAX($C$2:C1377)+1, "")</f>
        <v>1376</v>
      </c>
      <c r="D1378" t="str">
        <f t="shared" si="21"/>
        <v/>
      </c>
    </row>
    <row r="1379" spans="1:4">
      <c r="A1379" s="42" t="s">
        <v>1441</v>
      </c>
      <c r="B1379">
        <f>IFERROR(FIND('Simulador IR 2025'!$I$29, A1379), 0)</f>
        <v>1</v>
      </c>
      <c r="C1379">
        <f>IF(B1379&gt;0, MAX($C$2:C1378)+1, "")</f>
        <v>1377</v>
      </c>
      <c r="D1379" t="str">
        <f t="shared" si="21"/>
        <v/>
      </c>
    </row>
    <row r="1380" spans="1:4">
      <c r="A1380" s="42" t="s">
        <v>1442</v>
      </c>
      <c r="B1380">
        <f>IFERROR(FIND('Simulador IR 2025'!$I$29, A1380), 0)</f>
        <v>1</v>
      </c>
      <c r="C1380">
        <f>IF(B1380&gt;0, MAX($C$2:C1379)+1, "")</f>
        <v>1378</v>
      </c>
      <c r="D1380" t="str">
        <f t="shared" si="21"/>
        <v/>
      </c>
    </row>
    <row r="1381" spans="1:4">
      <c r="A1381" s="42" t="s">
        <v>1443</v>
      </c>
      <c r="B1381">
        <f>IFERROR(FIND('Simulador IR 2025'!$I$29, A1381), 0)</f>
        <v>1</v>
      </c>
      <c r="C1381">
        <f>IF(B1381&gt;0, MAX($C$2:C1380)+1, "")</f>
        <v>1379</v>
      </c>
      <c r="D1381" t="str">
        <f t="shared" si="21"/>
        <v/>
      </c>
    </row>
    <row r="1382" spans="1:4">
      <c r="A1382" s="42" t="s">
        <v>1444</v>
      </c>
      <c r="B1382">
        <f>IFERROR(FIND('Simulador IR 2025'!$I$29, A1382), 0)</f>
        <v>1</v>
      </c>
      <c r="C1382">
        <f>IF(B1382&gt;0, MAX($C$2:C1381)+1, "")</f>
        <v>1380</v>
      </c>
      <c r="D1382" t="str">
        <f t="shared" si="21"/>
        <v/>
      </c>
    </row>
    <row r="1383" spans="1:4">
      <c r="A1383" s="42" t="s">
        <v>1445</v>
      </c>
      <c r="B1383">
        <f>IFERROR(FIND('Simulador IR 2025'!$I$29, A1383), 0)</f>
        <v>1</v>
      </c>
      <c r="C1383">
        <f>IF(B1383&gt;0, MAX($C$2:C1382)+1, "")</f>
        <v>1381</v>
      </c>
      <c r="D1383" t="str">
        <f t="shared" si="21"/>
        <v/>
      </c>
    </row>
    <row r="1384" spans="1:4">
      <c r="A1384" s="42" t="s">
        <v>1446</v>
      </c>
      <c r="B1384">
        <f>IFERROR(FIND('Simulador IR 2025'!$I$29, A1384), 0)</f>
        <v>1</v>
      </c>
      <c r="C1384">
        <f>IF(B1384&gt;0, MAX($C$2:C1383)+1, "")</f>
        <v>1382</v>
      </c>
      <c r="D1384" t="str">
        <f t="shared" si="21"/>
        <v/>
      </c>
    </row>
    <row r="1385" spans="1:4">
      <c r="A1385" s="42" t="s">
        <v>1447</v>
      </c>
      <c r="B1385">
        <f>IFERROR(FIND('Simulador IR 2025'!$I$29, A1385), 0)</f>
        <v>1</v>
      </c>
      <c r="C1385">
        <f>IF(B1385&gt;0, MAX($C$2:C1384)+1, "")</f>
        <v>1383</v>
      </c>
      <c r="D1385" t="str">
        <f t="shared" si="21"/>
        <v/>
      </c>
    </row>
    <row r="1386" spans="1:4">
      <c r="A1386" s="42" t="s">
        <v>1448</v>
      </c>
      <c r="B1386">
        <f>IFERROR(FIND('Simulador IR 2025'!$I$29, A1386), 0)</f>
        <v>1</v>
      </c>
      <c r="C1386">
        <f>IF(B1386&gt;0, MAX($C$2:C1385)+1, "")</f>
        <v>1384</v>
      </c>
      <c r="D1386" t="str">
        <f t="shared" si="21"/>
        <v/>
      </c>
    </row>
    <row r="1387" spans="1:4">
      <c r="A1387" s="42" t="s">
        <v>1449</v>
      </c>
      <c r="B1387">
        <f>IFERROR(FIND('Simulador IR 2025'!$I$29, A1387), 0)</f>
        <v>1</v>
      </c>
      <c r="C1387">
        <f>IF(B1387&gt;0, MAX($C$2:C1386)+1, "")</f>
        <v>1385</v>
      </c>
      <c r="D1387" t="str">
        <f t="shared" si="21"/>
        <v/>
      </c>
    </row>
    <row r="1388" spans="1:4">
      <c r="A1388" s="42" t="s">
        <v>1450</v>
      </c>
      <c r="B1388">
        <f>IFERROR(FIND('Simulador IR 2025'!$I$29, A1388), 0)</f>
        <v>1</v>
      </c>
      <c r="C1388">
        <f>IF(B1388&gt;0, MAX($C$2:C1387)+1, "")</f>
        <v>1386</v>
      </c>
      <c r="D1388" t="str">
        <f t="shared" si="21"/>
        <v/>
      </c>
    </row>
    <row r="1389" spans="1:4">
      <c r="A1389" s="42" t="s">
        <v>1451</v>
      </c>
      <c r="B1389">
        <f>IFERROR(FIND('Simulador IR 2025'!$I$29, A1389), 0)</f>
        <v>1</v>
      </c>
      <c r="C1389">
        <f>IF(B1389&gt;0, MAX($C$2:C1388)+1, "")</f>
        <v>1387</v>
      </c>
      <c r="D1389" t="str">
        <f t="shared" si="21"/>
        <v/>
      </c>
    </row>
    <row r="1390" spans="1:4">
      <c r="A1390" s="42" t="s">
        <v>1452</v>
      </c>
      <c r="B1390">
        <f>IFERROR(FIND('Simulador IR 2025'!$I$29, A1390), 0)</f>
        <v>1</v>
      </c>
      <c r="C1390">
        <f>IF(B1390&gt;0, MAX($C$2:C1389)+1, "")</f>
        <v>1388</v>
      </c>
      <c r="D1390" t="str">
        <f t="shared" si="21"/>
        <v/>
      </c>
    </row>
    <row r="1391" spans="1:4">
      <c r="A1391" s="42" t="s">
        <v>1453</v>
      </c>
      <c r="B1391">
        <f>IFERROR(FIND('Simulador IR 2025'!$I$29, A1391), 0)</f>
        <v>1</v>
      </c>
      <c r="C1391">
        <f>IF(B1391&gt;0, MAX($C$2:C1390)+1, "")</f>
        <v>1389</v>
      </c>
      <c r="D1391" t="str">
        <f t="shared" si="21"/>
        <v/>
      </c>
    </row>
    <row r="1392" spans="1:4">
      <c r="A1392" s="42" t="s">
        <v>1454</v>
      </c>
      <c r="B1392">
        <f>IFERROR(FIND('Simulador IR 2025'!$I$29, A1392), 0)</f>
        <v>1</v>
      </c>
      <c r="C1392">
        <f>IF(B1392&gt;0, MAX($C$2:C1391)+1, "")</f>
        <v>1390</v>
      </c>
      <c r="D1392" t="str">
        <f t="shared" si="21"/>
        <v/>
      </c>
    </row>
    <row r="1393" spans="1:4">
      <c r="A1393" s="42" t="s">
        <v>1455</v>
      </c>
      <c r="B1393">
        <f>IFERROR(FIND('Simulador IR 2025'!$I$29, A1393), 0)</f>
        <v>1</v>
      </c>
      <c r="C1393">
        <f>IF(B1393&gt;0, MAX($C$2:C1392)+1, "")</f>
        <v>1391</v>
      </c>
      <c r="D1393" t="str">
        <f t="shared" si="21"/>
        <v/>
      </c>
    </row>
    <row r="1394" spans="1:4">
      <c r="A1394" s="42" t="s">
        <v>1456</v>
      </c>
      <c r="B1394">
        <f>IFERROR(FIND('Simulador IR 2025'!$I$29, A1394), 0)</f>
        <v>1</v>
      </c>
      <c r="C1394">
        <f>IF(B1394&gt;0, MAX($C$2:C1393)+1, "")</f>
        <v>1392</v>
      </c>
      <c r="D1394" t="str">
        <f t="shared" si="21"/>
        <v/>
      </c>
    </row>
    <row r="1395" spans="1:4">
      <c r="A1395" s="42" t="s">
        <v>1457</v>
      </c>
      <c r="B1395">
        <f>IFERROR(FIND('Simulador IR 2025'!$I$29, A1395), 0)</f>
        <v>1</v>
      </c>
      <c r="C1395">
        <f>IF(B1395&gt;0, MAX($C$2:C1394)+1, "")</f>
        <v>1393</v>
      </c>
      <c r="D1395" t="str">
        <f t="shared" si="21"/>
        <v/>
      </c>
    </row>
    <row r="1396" spans="1:4">
      <c r="A1396" s="42" t="s">
        <v>1458</v>
      </c>
      <c r="B1396">
        <f>IFERROR(FIND('Simulador IR 2025'!$I$29, A1396), 0)</f>
        <v>1</v>
      </c>
      <c r="C1396">
        <f>IF(B1396&gt;0, MAX($C$2:C1395)+1, "")</f>
        <v>1394</v>
      </c>
      <c r="D1396" t="str">
        <f t="shared" si="21"/>
        <v/>
      </c>
    </row>
    <row r="1397" spans="1:4">
      <c r="A1397" s="42" t="s">
        <v>1459</v>
      </c>
      <c r="B1397">
        <f>IFERROR(FIND('Simulador IR 2025'!$I$29, A1397), 0)</f>
        <v>1</v>
      </c>
      <c r="C1397">
        <f>IF(B1397&gt;0, MAX($C$2:C1396)+1, "")</f>
        <v>1395</v>
      </c>
      <c r="D1397" t="str">
        <f t="shared" si="21"/>
        <v/>
      </c>
    </row>
    <row r="1398" spans="1:4">
      <c r="A1398" s="42" t="s">
        <v>1460</v>
      </c>
      <c r="B1398">
        <f>IFERROR(FIND('Simulador IR 2025'!$I$29, A1398), 0)</f>
        <v>1</v>
      </c>
      <c r="C1398">
        <f>IF(B1398&gt;0, MAX($C$2:C1397)+1, "")</f>
        <v>1396</v>
      </c>
      <c r="D1398" t="str">
        <f t="shared" si="21"/>
        <v/>
      </c>
    </row>
    <row r="1399" spans="1:4">
      <c r="A1399" s="42" t="s">
        <v>1461</v>
      </c>
      <c r="B1399">
        <f>IFERROR(FIND('Simulador IR 2025'!$I$29, A1399), 0)</f>
        <v>1</v>
      </c>
      <c r="C1399">
        <f>IF(B1399&gt;0, MAX($C$2:C1398)+1, "")</f>
        <v>1397</v>
      </c>
      <c r="D1399" t="str">
        <f t="shared" si="21"/>
        <v/>
      </c>
    </row>
    <row r="1400" spans="1:4">
      <c r="A1400" s="42" t="s">
        <v>1462</v>
      </c>
      <c r="B1400">
        <f>IFERROR(FIND('Simulador IR 2025'!$I$29, A1400), 0)</f>
        <v>1</v>
      </c>
      <c r="C1400">
        <f>IF(B1400&gt;0, MAX($C$2:C1399)+1, "")</f>
        <v>1398</v>
      </c>
      <c r="D1400" t="str">
        <f t="shared" si="21"/>
        <v/>
      </c>
    </row>
    <row r="1401" spans="1:4">
      <c r="A1401" s="42" t="s">
        <v>1463</v>
      </c>
      <c r="B1401">
        <f>IFERROR(FIND('Simulador IR 2025'!$I$29, A1401), 0)</f>
        <v>1</v>
      </c>
      <c r="C1401">
        <f>IF(B1401&gt;0, MAX($C$2:C1400)+1, "")</f>
        <v>1399</v>
      </c>
      <c r="D1401" t="str">
        <f t="shared" si="21"/>
        <v/>
      </c>
    </row>
    <row r="1402" spans="1:4">
      <c r="A1402" s="42" t="s">
        <v>1464</v>
      </c>
      <c r="B1402">
        <f>IFERROR(FIND('Simulador IR 2025'!$I$29, A1402), 0)</f>
        <v>1</v>
      </c>
      <c r="C1402">
        <f>IF(B1402&gt;0, MAX($C$2:C1401)+1, "")</f>
        <v>1400</v>
      </c>
      <c r="D1402" t="str">
        <f t="shared" si="21"/>
        <v/>
      </c>
    </row>
    <row r="1403" spans="1:4">
      <c r="A1403" s="42" t="s">
        <v>1465</v>
      </c>
      <c r="B1403">
        <f>IFERROR(FIND('Simulador IR 2025'!$I$29, A1403), 0)</f>
        <v>1</v>
      </c>
      <c r="C1403">
        <f>IF(B1403&gt;0, MAX($C$2:C1402)+1, "")</f>
        <v>1401</v>
      </c>
      <c r="D1403" t="str">
        <f t="shared" si="21"/>
        <v/>
      </c>
    </row>
    <row r="1404" spans="1:4">
      <c r="A1404" s="42" t="s">
        <v>1466</v>
      </c>
      <c r="B1404">
        <f>IFERROR(FIND('Simulador IR 2025'!$I$29, A1404), 0)</f>
        <v>1</v>
      </c>
      <c r="C1404">
        <f>IF(B1404&gt;0, MAX($C$2:C1403)+1, "")</f>
        <v>1402</v>
      </c>
      <c r="D1404" t="str">
        <f t="shared" si="21"/>
        <v/>
      </c>
    </row>
    <row r="1405" spans="1:4">
      <c r="A1405" s="42" t="s">
        <v>1467</v>
      </c>
      <c r="B1405">
        <f>IFERROR(FIND('Simulador IR 2025'!$I$29, A1405), 0)</f>
        <v>1</v>
      </c>
      <c r="C1405">
        <f>IF(B1405&gt;0, MAX($C$2:C1404)+1, "")</f>
        <v>1403</v>
      </c>
      <c r="D1405" t="str">
        <f t="shared" si="21"/>
        <v/>
      </c>
    </row>
    <row r="1406" spans="1:4">
      <c r="A1406" s="42" t="s">
        <v>1468</v>
      </c>
      <c r="B1406">
        <f>IFERROR(FIND('Simulador IR 2025'!$I$29, A1406), 0)</f>
        <v>1</v>
      </c>
      <c r="C1406">
        <f>IF(B1406&gt;0, MAX($C$2:C1405)+1, "")</f>
        <v>1404</v>
      </c>
      <c r="D1406" t="str">
        <f t="shared" si="21"/>
        <v/>
      </c>
    </row>
    <row r="1407" spans="1:4">
      <c r="A1407" s="42" t="s">
        <v>1469</v>
      </c>
      <c r="B1407">
        <f>IFERROR(FIND('Simulador IR 2025'!$I$29, A1407), 0)</f>
        <v>1</v>
      </c>
      <c r="C1407">
        <f>IF(B1407&gt;0, MAX($C$2:C1406)+1, "")</f>
        <v>1405</v>
      </c>
      <c r="D1407" t="str">
        <f t="shared" si="21"/>
        <v/>
      </c>
    </row>
    <row r="1408" spans="1:4">
      <c r="A1408" s="42" t="s">
        <v>1470</v>
      </c>
      <c r="B1408">
        <f>IFERROR(FIND('Simulador IR 2025'!$I$29, A1408), 0)</f>
        <v>1</v>
      </c>
      <c r="C1408">
        <f>IF(B1408&gt;0, MAX($C$2:C1407)+1, "")</f>
        <v>1406</v>
      </c>
      <c r="D1408" t="str">
        <f t="shared" si="21"/>
        <v/>
      </c>
    </row>
    <row r="1409" spans="1:4">
      <c r="A1409" s="42" t="s">
        <v>1471</v>
      </c>
      <c r="B1409">
        <f>IFERROR(FIND('Simulador IR 2025'!$I$29, A1409), 0)</f>
        <v>1</v>
      </c>
      <c r="C1409">
        <f>IF(B1409&gt;0, MAX($C$2:C1408)+1, "")</f>
        <v>1407</v>
      </c>
      <c r="D1409" t="str">
        <f t="shared" si="21"/>
        <v/>
      </c>
    </row>
    <row r="1410" spans="1:4">
      <c r="A1410" s="42" t="s">
        <v>1472</v>
      </c>
      <c r="B1410">
        <f>IFERROR(FIND('Simulador IR 2025'!$I$29, A1410), 0)</f>
        <v>1</v>
      </c>
      <c r="C1410">
        <f>IF(B1410&gt;0, MAX($C$2:C1409)+1, "")</f>
        <v>1408</v>
      </c>
      <c r="D1410" t="str">
        <f t="shared" si="21"/>
        <v/>
      </c>
    </row>
    <row r="1411" spans="1:4">
      <c r="A1411" s="42" t="s">
        <v>1473</v>
      </c>
      <c r="B1411">
        <f>IFERROR(FIND('Simulador IR 2025'!$I$29, A1411), 0)</f>
        <v>1</v>
      </c>
      <c r="C1411">
        <f>IF(B1411&gt;0, MAX($C$2:C1410)+1, "")</f>
        <v>1409</v>
      </c>
      <c r="D1411" t="str">
        <f t="shared" si="21"/>
        <v/>
      </c>
    </row>
    <row r="1412" spans="1:4">
      <c r="A1412" s="42" t="s">
        <v>1474</v>
      </c>
      <c r="B1412">
        <f>IFERROR(FIND('Simulador IR 2025'!$I$29, A1412), 0)</f>
        <v>1</v>
      </c>
      <c r="C1412">
        <f>IF(B1412&gt;0, MAX($C$2:C1411)+1, "")</f>
        <v>1410</v>
      </c>
      <c r="D1412" t="str">
        <f t="shared" ref="D1412:D1475" si="22">IFERROR(VLOOKUP(ROW(A1410), $A$3:$C$2681, -2, FALSE), "")</f>
        <v/>
      </c>
    </row>
    <row r="1413" spans="1:4">
      <c r="A1413" s="42" t="s">
        <v>1475</v>
      </c>
      <c r="B1413">
        <f>IFERROR(FIND('Simulador IR 2025'!$I$29, A1413), 0)</f>
        <v>1</v>
      </c>
      <c r="C1413">
        <f>IF(B1413&gt;0, MAX($C$2:C1412)+1, "")</f>
        <v>1411</v>
      </c>
      <c r="D1413" t="str">
        <f t="shared" si="22"/>
        <v/>
      </c>
    </row>
    <row r="1414" spans="1:4">
      <c r="A1414" s="42" t="s">
        <v>1476</v>
      </c>
      <c r="B1414">
        <f>IFERROR(FIND('Simulador IR 2025'!$I$29, A1414), 0)</f>
        <v>1</v>
      </c>
      <c r="C1414">
        <f>IF(B1414&gt;0, MAX($C$2:C1413)+1, "")</f>
        <v>1412</v>
      </c>
      <c r="D1414" t="str">
        <f t="shared" si="22"/>
        <v/>
      </c>
    </row>
    <row r="1415" spans="1:4">
      <c r="A1415" s="42" t="s">
        <v>1477</v>
      </c>
      <c r="B1415">
        <f>IFERROR(FIND('Simulador IR 2025'!$I$29, A1415), 0)</f>
        <v>1</v>
      </c>
      <c r="C1415">
        <f>IF(B1415&gt;0, MAX($C$2:C1414)+1, "")</f>
        <v>1413</v>
      </c>
      <c r="D1415" t="str">
        <f t="shared" si="22"/>
        <v/>
      </c>
    </row>
    <row r="1416" spans="1:4">
      <c r="A1416" s="42" t="s">
        <v>1478</v>
      </c>
      <c r="B1416">
        <f>IFERROR(FIND('Simulador IR 2025'!$I$29, A1416), 0)</f>
        <v>1</v>
      </c>
      <c r="C1416">
        <f>IF(B1416&gt;0, MAX($C$2:C1415)+1, "")</f>
        <v>1414</v>
      </c>
      <c r="D1416" t="str">
        <f t="shared" si="22"/>
        <v/>
      </c>
    </row>
    <row r="1417" spans="1:4">
      <c r="A1417" s="42" t="s">
        <v>1479</v>
      </c>
      <c r="B1417">
        <f>IFERROR(FIND('Simulador IR 2025'!$I$29, A1417), 0)</f>
        <v>1</v>
      </c>
      <c r="C1417">
        <f>IF(B1417&gt;0, MAX($C$2:C1416)+1, "")</f>
        <v>1415</v>
      </c>
      <c r="D1417" t="str">
        <f t="shared" si="22"/>
        <v/>
      </c>
    </row>
    <row r="1418" spans="1:4">
      <c r="A1418" s="42" t="s">
        <v>1480</v>
      </c>
      <c r="B1418">
        <f>IFERROR(FIND('Simulador IR 2025'!$I$29, A1418), 0)</f>
        <v>1</v>
      </c>
      <c r="C1418">
        <f>IF(B1418&gt;0, MAX($C$2:C1417)+1, "")</f>
        <v>1416</v>
      </c>
      <c r="D1418" t="str">
        <f t="shared" si="22"/>
        <v/>
      </c>
    </row>
    <row r="1419" spans="1:4">
      <c r="A1419" s="42" t="s">
        <v>1481</v>
      </c>
      <c r="B1419">
        <f>IFERROR(FIND('Simulador IR 2025'!$I$29, A1419), 0)</f>
        <v>1</v>
      </c>
      <c r="C1419">
        <f>IF(B1419&gt;0, MAX($C$2:C1418)+1, "")</f>
        <v>1417</v>
      </c>
      <c r="D1419" t="str">
        <f t="shared" si="22"/>
        <v/>
      </c>
    </row>
    <row r="1420" spans="1:4">
      <c r="A1420" s="42" t="s">
        <v>1482</v>
      </c>
      <c r="B1420">
        <f>IFERROR(FIND('Simulador IR 2025'!$I$29, A1420), 0)</f>
        <v>1</v>
      </c>
      <c r="C1420">
        <f>IF(B1420&gt;0, MAX($C$2:C1419)+1, "")</f>
        <v>1418</v>
      </c>
      <c r="D1420" t="str">
        <f t="shared" si="22"/>
        <v/>
      </c>
    </row>
    <row r="1421" spans="1:4">
      <c r="A1421" s="42" t="s">
        <v>1483</v>
      </c>
      <c r="B1421">
        <f>IFERROR(FIND('Simulador IR 2025'!$I$29, A1421), 0)</f>
        <v>1</v>
      </c>
      <c r="C1421">
        <f>IF(B1421&gt;0, MAX($C$2:C1420)+1, "")</f>
        <v>1419</v>
      </c>
      <c r="D1421" t="str">
        <f t="shared" si="22"/>
        <v/>
      </c>
    </row>
    <row r="1422" spans="1:4">
      <c r="A1422" s="42" t="s">
        <v>1484</v>
      </c>
      <c r="B1422">
        <f>IFERROR(FIND('Simulador IR 2025'!$I$29, A1422), 0)</f>
        <v>1</v>
      </c>
      <c r="C1422">
        <f>IF(B1422&gt;0, MAX($C$2:C1421)+1, "")</f>
        <v>1420</v>
      </c>
      <c r="D1422" t="str">
        <f t="shared" si="22"/>
        <v/>
      </c>
    </row>
    <row r="1423" spans="1:4">
      <c r="A1423" s="42" t="s">
        <v>1485</v>
      </c>
      <c r="B1423">
        <f>IFERROR(FIND('Simulador IR 2025'!$I$29, A1423), 0)</f>
        <v>1</v>
      </c>
      <c r="C1423">
        <f>IF(B1423&gt;0, MAX($C$2:C1422)+1, "")</f>
        <v>1421</v>
      </c>
      <c r="D1423" t="str">
        <f t="shared" si="22"/>
        <v/>
      </c>
    </row>
    <row r="1424" spans="1:4">
      <c r="A1424" s="42" t="s">
        <v>1486</v>
      </c>
      <c r="B1424">
        <f>IFERROR(FIND('Simulador IR 2025'!$I$29, A1424), 0)</f>
        <v>1</v>
      </c>
      <c r="C1424">
        <f>IF(B1424&gt;0, MAX($C$2:C1423)+1, "")</f>
        <v>1422</v>
      </c>
      <c r="D1424" t="str">
        <f t="shared" si="22"/>
        <v/>
      </c>
    </row>
    <row r="1425" spans="1:4">
      <c r="A1425" s="42" t="s">
        <v>1487</v>
      </c>
      <c r="B1425">
        <f>IFERROR(FIND('Simulador IR 2025'!$I$29, A1425), 0)</f>
        <v>1</v>
      </c>
      <c r="C1425">
        <f>IF(B1425&gt;0, MAX($C$2:C1424)+1, "")</f>
        <v>1423</v>
      </c>
      <c r="D1425" t="str">
        <f t="shared" si="22"/>
        <v/>
      </c>
    </row>
    <row r="1426" spans="1:4">
      <c r="A1426" s="42" t="s">
        <v>1488</v>
      </c>
      <c r="B1426">
        <f>IFERROR(FIND('Simulador IR 2025'!$I$29, A1426), 0)</f>
        <v>1</v>
      </c>
      <c r="C1426">
        <f>IF(B1426&gt;0, MAX($C$2:C1425)+1, "")</f>
        <v>1424</v>
      </c>
      <c r="D1426" t="str">
        <f t="shared" si="22"/>
        <v/>
      </c>
    </row>
    <row r="1427" spans="1:4">
      <c r="A1427" s="42" t="s">
        <v>1489</v>
      </c>
      <c r="B1427">
        <f>IFERROR(FIND('Simulador IR 2025'!$I$29, A1427), 0)</f>
        <v>1</v>
      </c>
      <c r="C1427">
        <f>IF(B1427&gt;0, MAX($C$2:C1426)+1, "")</f>
        <v>1425</v>
      </c>
      <c r="D1427" t="str">
        <f t="shared" si="22"/>
        <v/>
      </c>
    </row>
    <row r="1428" spans="1:4">
      <c r="A1428" s="42" t="s">
        <v>1490</v>
      </c>
      <c r="B1428">
        <f>IFERROR(FIND('Simulador IR 2025'!$I$29, A1428), 0)</f>
        <v>1</v>
      </c>
      <c r="C1428">
        <f>IF(B1428&gt;0, MAX($C$2:C1427)+1, "")</f>
        <v>1426</v>
      </c>
      <c r="D1428" t="str">
        <f t="shared" si="22"/>
        <v/>
      </c>
    </row>
    <row r="1429" spans="1:4">
      <c r="A1429" s="42" t="s">
        <v>1491</v>
      </c>
      <c r="B1429">
        <f>IFERROR(FIND('Simulador IR 2025'!$I$29, A1429), 0)</f>
        <v>1</v>
      </c>
      <c r="C1429">
        <f>IF(B1429&gt;0, MAX($C$2:C1428)+1, "")</f>
        <v>1427</v>
      </c>
      <c r="D1429" t="str">
        <f t="shared" si="22"/>
        <v/>
      </c>
    </row>
    <row r="1430" spans="1:4">
      <c r="A1430" s="42" t="s">
        <v>1492</v>
      </c>
      <c r="B1430">
        <f>IFERROR(FIND('Simulador IR 2025'!$I$29, A1430), 0)</f>
        <v>1</v>
      </c>
      <c r="C1430">
        <f>IF(B1430&gt;0, MAX($C$2:C1429)+1, "")</f>
        <v>1428</v>
      </c>
      <c r="D1430" t="str">
        <f t="shared" si="22"/>
        <v/>
      </c>
    </row>
    <row r="1431" spans="1:4">
      <c r="A1431" s="42" t="s">
        <v>1493</v>
      </c>
      <c r="B1431">
        <f>IFERROR(FIND('Simulador IR 2025'!$I$29, A1431), 0)</f>
        <v>1</v>
      </c>
      <c r="C1431">
        <f>IF(B1431&gt;0, MAX($C$2:C1430)+1, "")</f>
        <v>1429</v>
      </c>
      <c r="D1431" t="str">
        <f t="shared" si="22"/>
        <v/>
      </c>
    </row>
    <row r="1432" spans="1:4">
      <c r="A1432" s="42" t="s">
        <v>1494</v>
      </c>
      <c r="B1432">
        <f>IFERROR(FIND('Simulador IR 2025'!$I$29, A1432), 0)</f>
        <v>1</v>
      </c>
      <c r="C1432">
        <f>IF(B1432&gt;0, MAX($C$2:C1431)+1, "")</f>
        <v>1430</v>
      </c>
      <c r="D1432" t="str">
        <f t="shared" si="22"/>
        <v/>
      </c>
    </row>
    <row r="1433" spans="1:4">
      <c r="A1433" s="42" t="s">
        <v>1495</v>
      </c>
      <c r="B1433">
        <f>IFERROR(FIND('Simulador IR 2025'!$I$29, A1433), 0)</f>
        <v>1</v>
      </c>
      <c r="C1433">
        <f>IF(B1433&gt;0, MAX($C$2:C1432)+1, "")</f>
        <v>1431</v>
      </c>
      <c r="D1433" t="str">
        <f t="shared" si="22"/>
        <v/>
      </c>
    </row>
    <row r="1434" spans="1:4">
      <c r="A1434" s="42" t="s">
        <v>1496</v>
      </c>
      <c r="B1434">
        <f>IFERROR(FIND('Simulador IR 2025'!$I$29, A1434), 0)</f>
        <v>1</v>
      </c>
      <c r="C1434">
        <f>IF(B1434&gt;0, MAX($C$2:C1433)+1, "")</f>
        <v>1432</v>
      </c>
      <c r="D1434" t="str">
        <f t="shared" si="22"/>
        <v/>
      </c>
    </row>
    <row r="1435" spans="1:4">
      <c r="A1435" s="42" t="s">
        <v>1497</v>
      </c>
      <c r="B1435">
        <f>IFERROR(FIND('Simulador IR 2025'!$I$29, A1435), 0)</f>
        <v>1</v>
      </c>
      <c r="C1435">
        <f>IF(B1435&gt;0, MAX($C$2:C1434)+1, "")</f>
        <v>1433</v>
      </c>
      <c r="D1435" t="str">
        <f t="shared" si="22"/>
        <v/>
      </c>
    </row>
    <row r="1436" spans="1:4">
      <c r="A1436" s="42" t="s">
        <v>1498</v>
      </c>
      <c r="B1436">
        <f>IFERROR(FIND('Simulador IR 2025'!$I$29, A1436), 0)</f>
        <v>1</v>
      </c>
      <c r="C1436">
        <f>IF(B1436&gt;0, MAX($C$2:C1435)+1, "")</f>
        <v>1434</v>
      </c>
      <c r="D1436" t="str">
        <f t="shared" si="22"/>
        <v/>
      </c>
    </row>
    <row r="1437" spans="1:4">
      <c r="A1437" s="42" t="s">
        <v>1499</v>
      </c>
      <c r="B1437">
        <f>IFERROR(FIND('Simulador IR 2025'!$I$29, A1437), 0)</f>
        <v>1</v>
      </c>
      <c r="C1437">
        <f>IF(B1437&gt;0, MAX($C$2:C1436)+1, "")</f>
        <v>1435</v>
      </c>
      <c r="D1437" t="str">
        <f t="shared" si="22"/>
        <v/>
      </c>
    </row>
    <row r="1438" spans="1:4">
      <c r="A1438" s="42" t="s">
        <v>1500</v>
      </c>
      <c r="B1438">
        <f>IFERROR(FIND('Simulador IR 2025'!$I$29, A1438), 0)</f>
        <v>1</v>
      </c>
      <c r="C1438">
        <f>IF(B1438&gt;0, MAX($C$2:C1437)+1, "")</f>
        <v>1436</v>
      </c>
      <c r="D1438" t="str">
        <f t="shared" si="22"/>
        <v/>
      </c>
    </row>
    <row r="1439" spans="1:4">
      <c r="A1439" s="42" t="s">
        <v>1501</v>
      </c>
      <c r="B1439">
        <f>IFERROR(FIND('Simulador IR 2025'!$I$29, A1439), 0)</f>
        <v>1</v>
      </c>
      <c r="C1439">
        <f>IF(B1439&gt;0, MAX($C$2:C1438)+1, "")</f>
        <v>1437</v>
      </c>
      <c r="D1439" t="str">
        <f t="shared" si="22"/>
        <v/>
      </c>
    </row>
    <row r="1440" spans="1:4">
      <c r="A1440" s="42" t="s">
        <v>1502</v>
      </c>
      <c r="B1440">
        <f>IFERROR(FIND('Simulador IR 2025'!$I$29, A1440), 0)</f>
        <v>1</v>
      </c>
      <c r="C1440">
        <f>IF(B1440&gt;0, MAX($C$2:C1439)+1, "")</f>
        <v>1438</v>
      </c>
      <c r="D1440" t="str">
        <f t="shared" si="22"/>
        <v/>
      </c>
    </row>
    <row r="1441" spans="1:4">
      <c r="A1441" s="42" t="s">
        <v>1503</v>
      </c>
      <c r="B1441">
        <f>IFERROR(FIND('Simulador IR 2025'!$I$29, A1441), 0)</f>
        <v>1</v>
      </c>
      <c r="C1441">
        <f>IF(B1441&gt;0, MAX($C$2:C1440)+1, "")</f>
        <v>1439</v>
      </c>
      <c r="D1441" t="str">
        <f t="shared" si="22"/>
        <v/>
      </c>
    </row>
    <row r="1442" spans="1:4">
      <c r="A1442" s="42" t="s">
        <v>1504</v>
      </c>
      <c r="B1442">
        <f>IFERROR(FIND('Simulador IR 2025'!$I$29, A1442), 0)</f>
        <v>1</v>
      </c>
      <c r="C1442">
        <f>IF(B1442&gt;0, MAX($C$2:C1441)+1, "")</f>
        <v>1440</v>
      </c>
      <c r="D1442" t="str">
        <f t="shared" si="22"/>
        <v/>
      </c>
    </row>
    <row r="1443" spans="1:4">
      <c r="A1443" s="42" t="s">
        <v>1505</v>
      </c>
      <c r="B1443">
        <f>IFERROR(FIND('Simulador IR 2025'!$I$29, A1443), 0)</f>
        <v>1</v>
      </c>
      <c r="C1443">
        <f>IF(B1443&gt;0, MAX($C$2:C1442)+1, "")</f>
        <v>1441</v>
      </c>
      <c r="D1443" t="str">
        <f t="shared" si="22"/>
        <v/>
      </c>
    </row>
    <row r="1444" spans="1:4">
      <c r="A1444" s="42" t="s">
        <v>1506</v>
      </c>
      <c r="B1444">
        <f>IFERROR(FIND('Simulador IR 2025'!$I$29, A1444), 0)</f>
        <v>1</v>
      </c>
      <c r="C1444">
        <f>IF(B1444&gt;0, MAX($C$2:C1443)+1, "")</f>
        <v>1442</v>
      </c>
      <c r="D1444" t="str">
        <f t="shared" si="22"/>
        <v/>
      </c>
    </row>
    <row r="1445" spans="1:4">
      <c r="A1445" s="42" t="s">
        <v>1507</v>
      </c>
      <c r="B1445">
        <f>IFERROR(FIND('Simulador IR 2025'!$I$29, A1445), 0)</f>
        <v>1</v>
      </c>
      <c r="C1445">
        <f>IF(B1445&gt;0, MAX($C$2:C1444)+1, "")</f>
        <v>1443</v>
      </c>
      <c r="D1445" t="str">
        <f t="shared" si="22"/>
        <v/>
      </c>
    </row>
    <row r="1446" spans="1:4">
      <c r="A1446" s="42" t="s">
        <v>1508</v>
      </c>
      <c r="B1446">
        <f>IFERROR(FIND('Simulador IR 2025'!$I$29, A1446), 0)</f>
        <v>1</v>
      </c>
      <c r="C1446">
        <f>IF(B1446&gt;0, MAX($C$2:C1445)+1, "")</f>
        <v>1444</v>
      </c>
      <c r="D1446" t="str">
        <f t="shared" si="22"/>
        <v/>
      </c>
    </row>
    <row r="1447" spans="1:4">
      <c r="A1447" s="42" t="s">
        <v>1509</v>
      </c>
      <c r="B1447">
        <f>IFERROR(FIND('Simulador IR 2025'!$I$29, A1447), 0)</f>
        <v>1</v>
      </c>
      <c r="C1447">
        <f>IF(B1447&gt;0, MAX($C$2:C1446)+1, "")</f>
        <v>1445</v>
      </c>
      <c r="D1447" t="str">
        <f t="shared" si="22"/>
        <v/>
      </c>
    </row>
    <row r="1448" spans="1:4">
      <c r="A1448" s="42" t="s">
        <v>1510</v>
      </c>
      <c r="B1448">
        <f>IFERROR(FIND('Simulador IR 2025'!$I$29, A1448), 0)</f>
        <v>1</v>
      </c>
      <c r="C1448">
        <f>IF(B1448&gt;0, MAX($C$2:C1447)+1, "")</f>
        <v>1446</v>
      </c>
      <c r="D1448" t="str">
        <f t="shared" si="22"/>
        <v/>
      </c>
    </row>
    <row r="1449" spans="1:4">
      <c r="A1449" s="42" t="s">
        <v>1511</v>
      </c>
      <c r="B1449">
        <f>IFERROR(FIND('Simulador IR 2025'!$I$29, A1449), 0)</f>
        <v>1</v>
      </c>
      <c r="C1449">
        <f>IF(B1449&gt;0, MAX($C$2:C1448)+1, "")</f>
        <v>1447</v>
      </c>
      <c r="D1449" t="str">
        <f t="shared" si="22"/>
        <v/>
      </c>
    </row>
    <row r="1450" spans="1:4">
      <c r="A1450" s="42" t="s">
        <v>1512</v>
      </c>
      <c r="B1450">
        <f>IFERROR(FIND('Simulador IR 2025'!$I$29, A1450), 0)</f>
        <v>1</v>
      </c>
      <c r="C1450">
        <f>IF(B1450&gt;0, MAX($C$2:C1449)+1, "")</f>
        <v>1448</v>
      </c>
      <c r="D1450" t="str">
        <f t="shared" si="22"/>
        <v/>
      </c>
    </row>
    <row r="1451" spans="1:4">
      <c r="A1451" s="42" t="s">
        <v>1513</v>
      </c>
      <c r="B1451">
        <f>IFERROR(FIND('Simulador IR 2025'!$I$29, A1451), 0)</f>
        <v>1</v>
      </c>
      <c r="C1451">
        <f>IF(B1451&gt;0, MAX($C$2:C1450)+1, "")</f>
        <v>1449</v>
      </c>
      <c r="D1451" t="str">
        <f t="shared" si="22"/>
        <v/>
      </c>
    </row>
    <row r="1452" spans="1:4">
      <c r="A1452" s="42" t="s">
        <v>1514</v>
      </c>
      <c r="B1452">
        <f>IFERROR(FIND('Simulador IR 2025'!$I$29, A1452), 0)</f>
        <v>1</v>
      </c>
      <c r="C1452">
        <f>IF(B1452&gt;0, MAX($C$2:C1451)+1, "")</f>
        <v>1450</v>
      </c>
      <c r="D1452" t="str">
        <f t="shared" si="22"/>
        <v/>
      </c>
    </row>
    <row r="1453" spans="1:4">
      <c r="A1453" s="42" t="s">
        <v>1515</v>
      </c>
      <c r="B1453">
        <f>IFERROR(FIND('Simulador IR 2025'!$I$29, A1453), 0)</f>
        <v>1</v>
      </c>
      <c r="C1453">
        <f>IF(B1453&gt;0, MAX($C$2:C1452)+1, "")</f>
        <v>1451</v>
      </c>
      <c r="D1453" t="str">
        <f t="shared" si="22"/>
        <v/>
      </c>
    </row>
    <row r="1454" spans="1:4">
      <c r="A1454" s="42" t="s">
        <v>1516</v>
      </c>
      <c r="B1454">
        <f>IFERROR(FIND('Simulador IR 2025'!$I$29, A1454), 0)</f>
        <v>1</v>
      </c>
      <c r="C1454">
        <f>IF(B1454&gt;0, MAX($C$2:C1453)+1, "")</f>
        <v>1452</v>
      </c>
      <c r="D1454" t="str">
        <f t="shared" si="22"/>
        <v/>
      </c>
    </row>
    <row r="1455" spans="1:4">
      <c r="A1455" s="42" t="s">
        <v>1517</v>
      </c>
      <c r="B1455">
        <f>IFERROR(FIND('Simulador IR 2025'!$I$29, A1455), 0)</f>
        <v>1</v>
      </c>
      <c r="C1455">
        <f>IF(B1455&gt;0, MAX($C$2:C1454)+1, "")</f>
        <v>1453</v>
      </c>
      <c r="D1455" t="str">
        <f t="shared" si="22"/>
        <v/>
      </c>
    </row>
    <row r="1456" spans="1:4">
      <c r="A1456" s="42" t="s">
        <v>1518</v>
      </c>
      <c r="B1456">
        <f>IFERROR(FIND('Simulador IR 2025'!$I$29, A1456), 0)</f>
        <v>1</v>
      </c>
      <c r="C1456">
        <f>IF(B1456&gt;0, MAX($C$2:C1455)+1, "")</f>
        <v>1454</v>
      </c>
      <c r="D1456" t="str">
        <f t="shared" si="22"/>
        <v/>
      </c>
    </row>
    <row r="1457" spans="1:4">
      <c r="A1457" s="42" t="s">
        <v>1519</v>
      </c>
      <c r="B1457">
        <f>IFERROR(FIND('Simulador IR 2025'!$I$29, A1457), 0)</f>
        <v>1</v>
      </c>
      <c r="C1457">
        <f>IF(B1457&gt;0, MAX($C$2:C1456)+1, "")</f>
        <v>1455</v>
      </c>
      <c r="D1457" t="str">
        <f t="shared" si="22"/>
        <v/>
      </c>
    </row>
    <row r="1458" spans="1:4">
      <c r="A1458" s="42" t="s">
        <v>1520</v>
      </c>
      <c r="B1458">
        <f>IFERROR(FIND('Simulador IR 2025'!$I$29, A1458), 0)</f>
        <v>1</v>
      </c>
      <c r="C1458">
        <f>IF(B1458&gt;0, MAX($C$2:C1457)+1, "")</f>
        <v>1456</v>
      </c>
      <c r="D1458" t="str">
        <f t="shared" si="22"/>
        <v/>
      </c>
    </row>
    <row r="1459" spans="1:4">
      <c r="A1459" s="42" t="s">
        <v>1521</v>
      </c>
      <c r="B1459">
        <f>IFERROR(FIND('Simulador IR 2025'!$I$29, A1459), 0)</f>
        <v>1</v>
      </c>
      <c r="C1459">
        <f>IF(B1459&gt;0, MAX($C$2:C1458)+1, "")</f>
        <v>1457</v>
      </c>
      <c r="D1459" t="str">
        <f t="shared" si="22"/>
        <v/>
      </c>
    </row>
    <row r="1460" spans="1:4">
      <c r="A1460" s="42" t="s">
        <v>1522</v>
      </c>
      <c r="B1460">
        <f>IFERROR(FIND('Simulador IR 2025'!$I$29, A1460), 0)</f>
        <v>1</v>
      </c>
      <c r="C1460">
        <f>IF(B1460&gt;0, MAX($C$2:C1459)+1, "")</f>
        <v>1458</v>
      </c>
      <c r="D1460" t="str">
        <f t="shared" si="22"/>
        <v/>
      </c>
    </row>
    <row r="1461" spans="1:4">
      <c r="A1461" s="42" t="s">
        <v>1523</v>
      </c>
      <c r="B1461">
        <f>IFERROR(FIND('Simulador IR 2025'!$I$29, A1461), 0)</f>
        <v>1</v>
      </c>
      <c r="C1461">
        <f>IF(B1461&gt;0, MAX($C$2:C1460)+1, "")</f>
        <v>1459</v>
      </c>
      <c r="D1461" t="str">
        <f t="shared" si="22"/>
        <v/>
      </c>
    </row>
    <row r="1462" spans="1:4">
      <c r="A1462" s="42" t="s">
        <v>1524</v>
      </c>
      <c r="B1462">
        <f>IFERROR(FIND('Simulador IR 2025'!$I$29, A1462), 0)</f>
        <v>1</v>
      </c>
      <c r="C1462">
        <f>IF(B1462&gt;0, MAX($C$2:C1461)+1, "")</f>
        <v>1460</v>
      </c>
      <c r="D1462" t="str">
        <f t="shared" si="22"/>
        <v/>
      </c>
    </row>
    <row r="1463" spans="1:4">
      <c r="A1463" s="42" t="s">
        <v>1525</v>
      </c>
      <c r="B1463">
        <f>IFERROR(FIND('Simulador IR 2025'!$I$29, A1463), 0)</f>
        <v>1</v>
      </c>
      <c r="C1463">
        <f>IF(B1463&gt;0, MAX($C$2:C1462)+1, "")</f>
        <v>1461</v>
      </c>
      <c r="D1463" t="str">
        <f t="shared" si="22"/>
        <v/>
      </c>
    </row>
    <row r="1464" spans="1:4">
      <c r="A1464" s="42" t="s">
        <v>1526</v>
      </c>
      <c r="B1464">
        <f>IFERROR(FIND('Simulador IR 2025'!$I$29, A1464), 0)</f>
        <v>1</v>
      </c>
      <c r="C1464">
        <f>IF(B1464&gt;0, MAX($C$2:C1463)+1, "")</f>
        <v>1462</v>
      </c>
      <c r="D1464" t="str">
        <f t="shared" si="22"/>
        <v/>
      </c>
    </row>
    <row r="1465" spans="1:4">
      <c r="A1465" s="42" t="s">
        <v>1527</v>
      </c>
      <c r="B1465">
        <f>IFERROR(FIND('Simulador IR 2025'!$I$29, A1465), 0)</f>
        <v>1</v>
      </c>
      <c r="C1465">
        <f>IF(B1465&gt;0, MAX($C$2:C1464)+1, "")</f>
        <v>1463</v>
      </c>
      <c r="D1465" t="str">
        <f t="shared" si="22"/>
        <v/>
      </c>
    </row>
    <row r="1466" spans="1:4">
      <c r="A1466" s="42" t="s">
        <v>1528</v>
      </c>
      <c r="B1466">
        <f>IFERROR(FIND('Simulador IR 2025'!$I$29, A1466), 0)</f>
        <v>1</v>
      </c>
      <c r="C1466">
        <f>IF(B1466&gt;0, MAX($C$2:C1465)+1, "")</f>
        <v>1464</v>
      </c>
      <c r="D1466" t="str">
        <f t="shared" si="22"/>
        <v/>
      </c>
    </row>
    <row r="1467" spans="1:4">
      <c r="A1467" s="42" t="s">
        <v>1529</v>
      </c>
      <c r="B1467">
        <f>IFERROR(FIND('Simulador IR 2025'!$I$29, A1467), 0)</f>
        <v>1</v>
      </c>
      <c r="C1467">
        <f>IF(B1467&gt;0, MAX($C$2:C1466)+1, "")</f>
        <v>1465</v>
      </c>
      <c r="D1467" t="str">
        <f t="shared" si="22"/>
        <v/>
      </c>
    </row>
    <row r="1468" spans="1:4">
      <c r="A1468" s="42" t="s">
        <v>1530</v>
      </c>
      <c r="B1468">
        <f>IFERROR(FIND('Simulador IR 2025'!$I$29, A1468), 0)</f>
        <v>1</v>
      </c>
      <c r="C1468">
        <f>IF(B1468&gt;0, MAX($C$2:C1467)+1, "")</f>
        <v>1466</v>
      </c>
      <c r="D1468" t="str">
        <f t="shared" si="22"/>
        <v/>
      </c>
    </row>
    <row r="1469" spans="1:4">
      <c r="A1469" s="42" t="s">
        <v>1531</v>
      </c>
      <c r="B1469">
        <f>IFERROR(FIND('Simulador IR 2025'!$I$29, A1469), 0)</f>
        <v>1</v>
      </c>
      <c r="C1469">
        <f>IF(B1469&gt;0, MAX($C$2:C1468)+1, "")</f>
        <v>1467</v>
      </c>
      <c r="D1469" t="str">
        <f t="shared" si="22"/>
        <v/>
      </c>
    </row>
    <row r="1470" spans="1:4">
      <c r="A1470" s="42" t="s">
        <v>1532</v>
      </c>
      <c r="B1470">
        <f>IFERROR(FIND('Simulador IR 2025'!$I$29, A1470), 0)</f>
        <v>1</v>
      </c>
      <c r="C1470">
        <f>IF(B1470&gt;0, MAX($C$2:C1469)+1, "")</f>
        <v>1468</v>
      </c>
      <c r="D1470" t="str">
        <f t="shared" si="22"/>
        <v/>
      </c>
    </row>
    <row r="1471" spans="1:4">
      <c r="A1471" s="42" t="s">
        <v>1533</v>
      </c>
      <c r="B1471">
        <f>IFERROR(FIND('Simulador IR 2025'!$I$29, A1471), 0)</f>
        <v>1</v>
      </c>
      <c r="C1471">
        <f>IF(B1471&gt;0, MAX($C$2:C1470)+1, "")</f>
        <v>1469</v>
      </c>
      <c r="D1471" t="str">
        <f t="shared" si="22"/>
        <v/>
      </c>
    </row>
    <row r="1472" spans="1:4">
      <c r="A1472" s="42" t="s">
        <v>1534</v>
      </c>
      <c r="B1472">
        <f>IFERROR(FIND('Simulador IR 2025'!$I$29, A1472), 0)</f>
        <v>1</v>
      </c>
      <c r="C1472">
        <f>IF(B1472&gt;0, MAX($C$2:C1471)+1, "")</f>
        <v>1470</v>
      </c>
      <c r="D1472" t="str">
        <f t="shared" si="22"/>
        <v/>
      </c>
    </row>
    <row r="1473" spans="1:4">
      <c r="A1473" s="42" t="s">
        <v>1535</v>
      </c>
      <c r="B1473">
        <f>IFERROR(FIND('Simulador IR 2025'!$I$29, A1473), 0)</f>
        <v>1</v>
      </c>
      <c r="C1473">
        <f>IF(B1473&gt;0, MAX($C$2:C1472)+1, "")</f>
        <v>1471</v>
      </c>
      <c r="D1473" t="str">
        <f t="shared" si="22"/>
        <v/>
      </c>
    </row>
    <row r="1474" spans="1:4">
      <c r="A1474" s="42" t="s">
        <v>1536</v>
      </c>
      <c r="B1474">
        <f>IFERROR(FIND('Simulador IR 2025'!$I$29, A1474), 0)</f>
        <v>1</v>
      </c>
      <c r="C1474">
        <f>IF(B1474&gt;0, MAX($C$2:C1473)+1, "")</f>
        <v>1472</v>
      </c>
      <c r="D1474" t="str">
        <f t="shared" si="22"/>
        <v/>
      </c>
    </row>
    <row r="1475" spans="1:4">
      <c r="A1475" s="42" t="s">
        <v>1537</v>
      </c>
      <c r="B1475">
        <f>IFERROR(FIND('Simulador IR 2025'!$I$29, A1475), 0)</f>
        <v>1</v>
      </c>
      <c r="C1475">
        <f>IF(B1475&gt;0, MAX($C$2:C1474)+1, "")</f>
        <v>1473</v>
      </c>
      <c r="D1475" t="str">
        <f t="shared" si="22"/>
        <v/>
      </c>
    </row>
    <row r="1476" spans="1:4">
      <c r="A1476" s="42" t="s">
        <v>1538</v>
      </c>
      <c r="B1476">
        <f>IFERROR(FIND('Simulador IR 2025'!$I$29, A1476), 0)</f>
        <v>1</v>
      </c>
      <c r="C1476">
        <f>IF(B1476&gt;0, MAX($C$2:C1475)+1, "")</f>
        <v>1474</v>
      </c>
      <c r="D1476" t="str">
        <f t="shared" ref="D1476:D1539" si="23">IFERROR(VLOOKUP(ROW(A1474), $A$3:$C$2681, -2, FALSE), "")</f>
        <v/>
      </c>
    </row>
    <row r="1477" spans="1:4">
      <c r="A1477" s="42" t="s">
        <v>1539</v>
      </c>
      <c r="B1477">
        <f>IFERROR(FIND('Simulador IR 2025'!$I$29, A1477), 0)</f>
        <v>1</v>
      </c>
      <c r="C1477">
        <f>IF(B1477&gt;0, MAX($C$2:C1476)+1, "")</f>
        <v>1475</v>
      </c>
      <c r="D1477" t="str">
        <f t="shared" si="23"/>
        <v/>
      </c>
    </row>
    <row r="1478" spans="1:4">
      <c r="A1478" s="42" t="s">
        <v>1540</v>
      </c>
      <c r="B1478">
        <f>IFERROR(FIND('Simulador IR 2025'!$I$29, A1478), 0)</f>
        <v>1</v>
      </c>
      <c r="C1478">
        <f>IF(B1478&gt;0, MAX($C$2:C1477)+1, "")</f>
        <v>1476</v>
      </c>
      <c r="D1478" t="str">
        <f t="shared" si="23"/>
        <v/>
      </c>
    </row>
    <row r="1479" spans="1:4">
      <c r="A1479" s="42" t="s">
        <v>1541</v>
      </c>
      <c r="B1479">
        <f>IFERROR(FIND('Simulador IR 2025'!$I$29, A1479), 0)</f>
        <v>1</v>
      </c>
      <c r="C1479">
        <f>IF(B1479&gt;0, MAX($C$2:C1478)+1, "")</f>
        <v>1477</v>
      </c>
      <c r="D1479" t="str">
        <f t="shared" si="23"/>
        <v/>
      </c>
    </row>
    <row r="1480" spans="1:4">
      <c r="A1480" s="42" t="s">
        <v>1542</v>
      </c>
      <c r="B1480">
        <f>IFERROR(FIND('Simulador IR 2025'!$I$29, A1480), 0)</f>
        <v>1</v>
      </c>
      <c r="C1480">
        <f>IF(B1480&gt;0, MAX($C$2:C1479)+1, "")</f>
        <v>1478</v>
      </c>
      <c r="D1480" t="str">
        <f t="shared" si="23"/>
        <v/>
      </c>
    </row>
    <row r="1481" spans="1:4">
      <c r="A1481" s="42" t="s">
        <v>1543</v>
      </c>
      <c r="B1481">
        <f>IFERROR(FIND('Simulador IR 2025'!$I$29, A1481), 0)</f>
        <v>1</v>
      </c>
      <c r="C1481">
        <f>IF(B1481&gt;0, MAX($C$2:C1480)+1, "")</f>
        <v>1479</v>
      </c>
      <c r="D1481" t="str">
        <f t="shared" si="23"/>
        <v/>
      </c>
    </row>
    <row r="1482" spans="1:4">
      <c r="A1482" s="42" t="s">
        <v>1544</v>
      </c>
      <c r="B1482">
        <f>IFERROR(FIND('Simulador IR 2025'!$I$29, A1482), 0)</f>
        <v>1</v>
      </c>
      <c r="C1482">
        <f>IF(B1482&gt;0, MAX($C$2:C1481)+1, "")</f>
        <v>1480</v>
      </c>
      <c r="D1482" t="str">
        <f t="shared" si="23"/>
        <v/>
      </c>
    </row>
    <row r="1483" spans="1:4">
      <c r="A1483" s="42" t="s">
        <v>1545</v>
      </c>
      <c r="B1483">
        <f>IFERROR(FIND('Simulador IR 2025'!$I$29, A1483), 0)</f>
        <v>1</v>
      </c>
      <c r="C1483">
        <f>IF(B1483&gt;0, MAX($C$2:C1482)+1, "")</f>
        <v>1481</v>
      </c>
      <c r="D1483" t="str">
        <f t="shared" si="23"/>
        <v/>
      </c>
    </row>
    <row r="1484" spans="1:4">
      <c r="A1484" s="42" t="s">
        <v>1546</v>
      </c>
      <c r="B1484">
        <f>IFERROR(FIND('Simulador IR 2025'!$I$29, A1484), 0)</f>
        <v>1</v>
      </c>
      <c r="C1484">
        <f>IF(B1484&gt;0, MAX($C$2:C1483)+1, "")</f>
        <v>1482</v>
      </c>
      <c r="D1484" t="str">
        <f t="shared" si="23"/>
        <v/>
      </c>
    </row>
    <row r="1485" spans="1:4">
      <c r="A1485" s="42" t="s">
        <v>1547</v>
      </c>
      <c r="B1485">
        <f>IFERROR(FIND('Simulador IR 2025'!$I$29, A1485), 0)</f>
        <v>1</v>
      </c>
      <c r="C1485">
        <f>IF(B1485&gt;0, MAX($C$2:C1484)+1, "")</f>
        <v>1483</v>
      </c>
      <c r="D1485" t="str">
        <f t="shared" si="23"/>
        <v/>
      </c>
    </row>
    <row r="1486" spans="1:4">
      <c r="A1486" s="42" t="s">
        <v>1548</v>
      </c>
      <c r="B1486">
        <f>IFERROR(FIND('Simulador IR 2025'!$I$29, A1486), 0)</f>
        <v>1</v>
      </c>
      <c r="C1486">
        <f>IF(B1486&gt;0, MAX($C$2:C1485)+1, "")</f>
        <v>1484</v>
      </c>
      <c r="D1486" t="str">
        <f t="shared" si="23"/>
        <v/>
      </c>
    </row>
    <row r="1487" spans="1:4">
      <c r="A1487" s="42" t="s">
        <v>1549</v>
      </c>
      <c r="B1487">
        <f>IFERROR(FIND('Simulador IR 2025'!$I$29, A1487), 0)</f>
        <v>1</v>
      </c>
      <c r="C1487">
        <f>IF(B1487&gt;0, MAX($C$2:C1486)+1, "")</f>
        <v>1485</v>
      </c>
      <c r="D1487" t="str">
        <f t="shared" si="23"/>
        <v/>
      </c>
    </row>
    <row r="1488" spans="1:4">
      <c r="A1488" s="42" t="s">
        <v>1550</v>
      </c>
      <c r="B1488">
        <f>IFERROR(FIND('Simulador IR 2025'!$I$29, A1488), 0)</f>
        <v>1</v>
      </c>
      <c r="C1488">
        <f>IF(B1488&gt;0, MAX($C$2:C1487)+1, "")</f>
        <v>1486</v>
      </c>
      <c r="D1488" t="str">
        <f t="shared" si="23"/>
        <v/>
      </c>
    </row>
    <row r="1489" spans="1:4">
      <c r="A1489" s="42" t="s">
        <v>1551</v>
      </c>
      <c r="B1489">
        <f>IFERROR(FIND('Simulador IR 2025'!$I$29, A1489), 0)</f>
        <v>1</v>
      </c>
      <c r="C1489">
        <f>IF(B1489&gt;0, MAX($C$2:C1488)+1, "")</f>
        <v>1487</v>
      </c>
      <c r="D1489" t="str">
        <f t="shared" si="23"/>
        <v/>
      </c>
    </row>
    <row r="1490" spans="1:4">
      <c r="A1490" s="42" t="s">
        <v>1552</v>
      </c>
      <c r="B1490">
        <f>IFERROR(FIND('Simulador IR 2025'!$I$29, A1490), 0)</f>
        <v>1</v>
      </c>
      <c r="C1490">
        <f>IF(B1490&gt;0, MAX($C$2:C1489)+1, "")</f>
        <v>1488</v>
      </c>
      <c r="D1490" t="str">
        <f t="shared" si="23"/>
        <v/>
      </c>
    </row>
    <row r="1491" spans="1:4">
      <c r="A1491" s="42" t="s">
        <v>1553</v>
      </c>
      <c r="B1491">
        <f>IFERROR(FIND('Simulador IR 2025'!$I$29, A1491), 0)</f>
        <v>1</v>
      </c>
      <c r="C1491">
        <f>IF(B1491&gt;0, MAX($C$2:C1490)+1, "")</f>
        <v>1489</v>
      </c>
      <c r="D1491" t="str">
        <f t="shared" si="23"/>
        <v/>
      </c>
    </row>
    <row r="1492" spans="1:4">
      <c r="A1492" s="42" t="s">
        <v>1554</v>
      </c>
      <c r="B1492">
        <f>IFERROR(FIND('Simulador IR 2025'!$I$29, A1492), 0)</f>
        <v>1</v>
      </c>
      <c r="C1492">
        <f>IF(B1492&gt;0, MAX($C$2:C1491)+1, "")</f>
        <v>1490</v>
      </c>
      <c r="D1492" t="str">
        <f t="shared" si="23"/>
        <v/>
      </c>
    </row>
    <row r="1493" spans="1:4">
      <c r="A1493" s="42" t="s">
        <v>1555</v>
      </c>
      <c r="B1493">
        <f>IFERROR(FIND('Simulador IR 2025'!$I$29, A1493), 0)</f>
        <v>1</v>
      </c>
      <c r="C1493">
        <f>IF(B1493&gt;0, MAX($C$2:C1492)+1, "")</f>
        <v>1491</v>
      </c>
      <c r="D1493" t="str">
        <f t="shared" si="23"/>
        <v/>
      </c>
    </row>
    <row r="1494" spans="1:4">
      <c r="A1494" s="42" t="s">
        <v>1556</v>
      </c>
      <c r="B1494">
        <f>IFERROR(FIND('Simulador IR 2025'!$I$29, A1494), 0)</f>
        <v>1</v>
      </c>
      <c r="C1494">
        <f>IF(B1494&gt;0, MAX($C$2:C1493)+1, "")</f>
        <v>1492</v>
      </c>
      <c r="D1494" t="str">
        <f t="shared" si="23"/>
        <v/>
      </c>
    </row>
    <row r="1495" spans="1:4">
      <c r="A1495" s="42" t="s">
        <v>1557</v>
      </c>
      <c r="B1495">
        <f>IFERROR(FIND('Simulador IR 2025'!$I$29, A1495), 0)</f>
        <v>1</v>
      </c>
      <c r="C1495">
        <f>IF(B1495&gt;0, MAX($C$2:C1494)+1, "")</f>
        <v>1493</v>
      </c>
      <c r="D1495" t="str">
        <f t="shared" si="23"/>
        <v/>
      </c>
    </row>
    <row r="1496" spans="1:4">
      <c r="A1496" s="42" t="s">
        <v>1558</v>
      </c>
      <c r="B1496">
        <f>IFERROR(FIND('Simulador IR 2025'!$I$29, A1496), 0)</f>
        <v>1</v>
      </c>
      <c r="C1496">
        <f>IF(B1496&gt;0, MAX($C$2:C1495)+1, "")</f>
        <v>1494</v>
      </c>
      <c r="D1496" t="str">
        <f t="shared" si="23"/>
        <v/>
      </c>
    </row>
    <row r="1497" spans="1:4">
      <c r="A1497" s="42" t="s">
        <v>1559</v>
      </c>
      <c r="B1497">
        <f>IFERROR(FIND('Simulador IR 2025'!$I$29, A1497), 0)</f>
        <v>1</v>
      </c>
      <c r="C1497">
        <f>IF(B1497&gt;0, MAX($C$2:C1496)+1, "")</f>
        <v>1495</v>
      </c>
      <c r="D1497" t="str">
        <f t="shared" si="23"/>
        <v/>
      </c>
    </row>
    <row r="1498" spans="1:4">
      <c r="A1498" s="42" t="s">
        <v>1560</v>
      </c>
      <c r="B1498">
        <f>IFERROR(FIND('Simulador IR 2025'!$I$29, A1498), 0)</f>
        <v>1</v>
      </c>
      <c r="C1498">
        <f>IF(B1498&gt;0, MAX($C$2:C1497)+1, "")</f>
        <v>1496</v>
      </c>
      <c r="D1498" t="str">
        <f t="shared" si="23"/>
        <v/>
      </c>
    </row>
    <row r="1499" spans="1:4">
      <c r="A1499" s="42" t="s">
        <v>1561</v>
      </c>
      <c r="B1499">
        <f>IFERROR(FIND('Simulador IR 2025'!$I$29, A1499), 0)</f>
        <v>1</v>
      </c>
      <c r="C1499">
        <f>IF(B1499&gt;0, MAX($C$2:C1498)+1, "")</f>
        <v>1497</v>
      </c>
      <c r="D1499" t="str">
        <f t="shared" si="23"/>
        <v/>
      </c>
    </row>
    <row r="1500" spans="1:4">
      <c r="A1500" s="42" t="s">
        <v>1562</v>
      </c>
      <c r="B1500">
        <f>IFERROR(FIND('Simulador IR 2025'!$I$29, A1500), 0)</f>
        <v>1</v>
      </c>
      <c r="C1500">
        <f>IF(B1500&gt;0, MAX($C$2:C1499)+1, "")</f>
        <v>1498</v>
      </c>
      <c r="D1500" t="str">
        <f t="shared" si="23"/>
        <v/>
      </c>
    </row>
    <row r="1501" spans="1:4">
      <c r="A1501" s="42" t="s">
        <v>1563</v>
      </c>
      <c r="B1501">
        <f>IFERROR(FIND('Simulador IR 2025'!$I$29, A1501), 0)</f>
        <v>1</v>
      </c>
      <c r="C1501">
        <f>IF(B1501&gt;0, MAX($C$2:C1500)+1, "")</f>
        <v>1499</v>
      </c>
      <c r="D1501" t="str">
        <f t="shared" si="23"/>
        <v/>
      </c>
    </row>
    <row r="1502" spans="1:4">
      <c r="A1502" s="42" t="s">
        <v>1564</v>
      </c>
      <c r="B1502">
        <f>IFERROR(FIND('Simulador IR 2025'!$I$29, A1502), 0)</f>
        <v>1</v>
      </c>
      <c r="C1502">
        <f>IF(B1502&gt;0, MAX($C$2:C1501)+1, "")</f>
        <v>1500</v>
      </c>
      <c r="D1502" t="str">
        <f t="shared" si="23"/>
        <v/>
      </c>
    </row>
    <row r="1503" spans="1:4">
      <c r="A1503" s="42" t="s">
        <v>1565</v>
      </c>
      <c r="B1503">
        <f>IFERROR(FIND('Simulador IR 2025'!$I$29, A1503), 0)</f>
        <v>1</v>
      </c>
      <c r="C1503">
        <f>IF(B1503&gt;0, MAX($C$2:C1502)+1, "")</f>
        <v>1501</v>
      </c>
      <c r="D1503" t="str">
        <f t="shared" si="23"/>
        <v/>
      </c>
    </row>
    <row r="1504" spans="1:4">
      <c r="A1504" s="42" t="s">
        <v>1566</v>
      </c>
      <c r="B1504">
        <f>IFERROR(FIND('Simulador IR 2025'!$I$29, A1504), 0)</f>
        <v>1</v>
      </c>
      <c r="C1504">
        <f>IF(B1504&gt;0, MAX($C$2:C1503)+1, "")</f>
        <v>1502</v>
      </c>
      <c r="D1504" t="str">
        <f t="shared" si="23"/>
        <v/>
      </c>
    </row>
    <row r="1505" spans="1:4">
      <c r="A1505" s="42" t="s">
        <v>1567</v>
      </c>
      <c r="B1505">
        <f>IFERROR(FIND('Simulador IR 2025'!$I$29, A1505), 0)</f>
        <v>1</v>
      </c>
      <c r="C1505">
        <f>IF(B1505&gt;0, MAX($C$2:C1504)+1, "")</f>
        <v>1503</v>
      </c>
      <c r="D1505" t="str">
        <f t="shared" si="23"/>
        <v/>
      </c>
    </row>
    <row r="1506" spans="1:4">
      <c r="A1506" s="42" t="s">
        <v>1568</v>
      </c>
      <c r="B1506">
        <f>IFERROR(FIND('Simulador IR 2025'!$I$29, A1506), 0)</f>
        <v>1</v>
      </c>
      <c r="C1506">
        <f>IF(B1506&gt;0, MAX($C$2:C1505)+1, "")</f>
        <v>1504</v>
      </c>
      <c r="D1506" t="str">
        <f t="shared" si="23"/>
        <v/>
      </c>
    </row>
    <row r="1507" spans="1:4">
      <c r="A1507" s="42" t="s">
        <v>1569</v>
      </c>
      <c r="B1507">
        <f>IFERROR(FIND('Simulador IR 2025'!$I$29, A1507), 0)</f>
        <v>1</v>
      </c>
      <c r="C1507">
        <f>IF(B1507&gt;0, MAX($C$2:C1506)+1, "")</f>
        <v>1505</v>
      </c>
      <c r="D1507" t="str">
        <f t="shared" si="23"/>
        <v/>
      </c>
    </row>
    <row r="1508" spans="1:4">
      <c r="A1508" s="42" t="s">
        <v>1570</v>
      </c>
      <c r="B1508">
        <f>IFERROR(FIND('Simulador IR 2025'!$I$29, A1508), 0)</f>
        <v>1</v>
      </c>
      <c r="C1508">
        <f>IF(B1508&gt;0, MAX($C$2:C1507)+1, "")</f>
        <v>1506</v>
      </c>
      <c r="D1508" t="str">
        <f t="shared" si="23"/>
        <v/>
      </c>
    </row>
    <row r="1509" spans="1:4">
      <c r="A1509" s="42" t="s">
        <v>1571</v>
      </c>
      <c r="B1509">
        <f>IFERROR(FIND('Simulador IR 2025'!$I$29, A1509), 0)</f>
        <v>1</v>
      </c>
      <c r="C1509">
        <f>IF(B1509&gt;0, MAX($C$2:C1508)+1, "")</f>
        <v>1507</v>
      </c>
      <c r="D1509" t="str">
        <f t="shared" si="23"/>
        <v/>
      </c>
    </row>
    <row r="1510" spans="1:4">
      <c r="A1510" s="42" t="s">
        <v>1572</v>
      </c>
      <c r="B1510">
        <f>IFERROR(FIND('Simulador IR 2025'!$I$29, A1510), 0)</f>
        <v>1</v>
      </c>
      <c r="C1510">
        <f>IF(B1510&gt;0, MAX($C$2:C1509)+1, "")</f>
        <v>1508</v>
      </c>
      <c r="D1510" t="str">
        <f t="shared" si="23"/>
        <v/>
      </c>
    </row>
    <row r="1511" spans="1:4">
      <c r="A1511" s="42" t="s">
        <v>1573</v>
      </c>
      <c r="B1511">
        <f>IFERROR(FIND('Simulador IR 2025'!$I$29, A1511), 0)</f>
        <v>1</v>
      </c>
      <c r="C1511">
        <f>IF(B1511&gt;0, MAX($C$2:C1510)+1, "")</f>
        <v>1509</v>
      </c>
      <c r="D1511" t="str">
        <f t="shared" si="23"/>
        <v/>
      </c>
    </row>
    <row r="1512" spans="1:4">
      <c r="A1512" s="42" t="s">
        <v>1574</v>
      </c>
      <c r="B1512">
        <f>IFERROR(FIND('Simulador IR 2025'!$I$29, A1512), 0)</f>
        <v>1</v>
      </c>
      <c r="C1512">
        <f>IF(B1512&gt;0, MAX($C$2:C1511)+1, "")</f>
        <v>1510</v>
      </c>
      <c r="D1512" t="str">
        <f t="shared" si="23"/>
        <v/>
      </c>
    </row>
    <row r="1513" spans="1:4">
      <c r="A1513" s="42" t="s">
        <v>1575</v>
      </c>
      <c r="B1513">
        <f>IFERROR(FIND('Simulador IR 2025'!$I$29, A1513), 0)</f>
        <v>1</v>
      </c>
      <c r="C1513">
        <f>IF(B1513&gt;0, MAX($C$2:C1512)+1, "")</f>
        <v>1511</v>
      </c>
      <c r="D1513" t="str">
        <f t="shared" si="23"/>
        <v/>
      </c>
    </row>
    <row r="1514" spans="1:4">
      <c r="A1514" s="42" t="s">
        <v>1576</v>
      </c>
      <c r="B1514">
        <f>IFERROR(FIND('Simulador IR 2025'!$I$29, A1514), 0)</f>
        <v>1</v>
      </c>
      <c r="C1514">
        <f>IF(B1514&gt;0, MAX($C$2:C1513)+1, "")</f>
        <v>1512</v>
      </c>
      <c r="D1514" t="str">
        <f t="shared" si="23"/>
        <v/>
      </c>
    </row>
    <row r="1515" spans="1:4">
      <c r="A1515" s="42" t="s">
        <v>1577</v>
      </c>
      <c r="B1515">
        <f>IFERROR(FIND('Simulador IR 2025'!$I$29, A1515), 0)</f>
        <v>1</v>
      </c>
      <c r="C1515">
        <f>IF(B1515&gt;0, MAX($C$2:C1514)+1, "")</f>
        <v>1513</v>
      </c>
      <c r="D1515" t="str">
        <f t="shared" si="23"/>
        <v/>
      </c>
    </row>
    <row r="1516" spans="1:4">
      <c r="A1516" s="42" t="s">
        <v>1578</v>
      </c>
      <c r="B1516">
        <f>IFERROR(FIND('Simulador IR 2025'!$I$29, A1516), 0)</f>
        <v>1</v>
      </c>
      <c r="C1516">
        <f>IF(B1516&gt;0, MAX($C$2:C1515)+1, "")</f>
        <v>1514</v>
      </c>
      <c r="D1516" t="str">
        <f t="shared" si="23"/>
        <v/>
      </c>
    </row>
    <row r="1517" spans="1:4">
      <c r="A1517" s="42" t="s">
        <v>1579</v>
      </c>
      <c r="B1517">
        <f>IFERROR(FIND('Simulador IR 2025'!$I$29, A1517), 0)</f>
        <v>1</v>
      </c>
      <c r="C1517">
        <f>IF(B1517&gt;0, MAX($C$2:C1516)+1, "")</f>
        <v>1515</v>
      </c>
      <c r="D1517" t="str">
        <f t="shared" si="23"/>
        <v/>
      </c>
    </row>
    <row r="1518" spans="1:4">
      <c r="A1518" s="42" t="s">
        <v>1580</v>
      </c>
      <c r="B1518">
        <f>IFERROR(FIND('Simulador IR 2025'!$I$29, A1518), 0)</f>
        <v>1</v>
      </c>
      <c r="C1518">
        <f>IF(B1518&gt;0, MAX($C$2:C1517)+1, "")</f>
        <v>1516</v>
      </c>
      <c r="D1518" t="str">
        <f t="shared" si="23"/>
        <v/>
      </c>
    </row>
    <row r="1519" spans="1:4">
      <c r="A1519" s="42" t="s">
        <v>1581</v>
      </c>
      <c r="B1519">
        <f>IFERROR(FIND('Simulador IR 2025'!$I$29, A1519), 0)</f>
        <v>1</v>
      </c>
      <c r="C1519">
        <f>IF(B1519&gt;0, MAX($C$2:C1518)+1, "")</f>
        <v>1517</v>
      </c>
      <c r="D1519" t="str">
        <f t="shared" si="23"/>
        <v/>
      </c>
    </row>
    <row r="1520" spans="1:4">
      <c r="A1520" s="42" t="s">
        <v>1582</v>
      </c>
      <c r="B1520">
        <f>IFERROR(FIND('Simulador IR 2025'!$I$29, A1520), 0)</f>
        <v>1</v>
      </c>
      <c r="C1520">
        <f>IF(B1520&gt;0, MAX($C$2:C1519)+1, "")</f>
        <v>1518</v>
      </c>
      <c r="D1520" t="str">
        <f t="shared" si="23"/>
        <v/>
      </c>
    </row>
    <row r="1521" spans="1:4">
      <c r="A1521" s="42" t="s">
        <v>1583</v>
      </c>
      <c r="B1521">
        <f>IFERROR(FIND('Simulador IR 2025'!$I$29, A1521), 0)</f>
        <v>1</v>
      </c>
      <c r="C1521">
        <f>IF(B1521&gt;0, MAX($C$2:C1520)+1, "")</f>
        <v>1519</v>
      </c>
      <c r="D1521" t="str">
        <f t="shared" si="23"/>
        <v/>
      </c>
    </row>
    <row r="1522" spans="1:4">
      <c r="A1522" s="42" t="s">
        <v>1584</v>
      </c>
      <c r="B1522">
        <f>IFERROR(FIND('Simulador IR 2025'!$I$29, A1522), 0)</f>
        <v>1</v>
      </c>
      <c r="C1522">
        <f>IF(B1522&gt;0, MAX($C$2:C1521)+1, "")</f>
        <v>1520</v>
      </c>
      <c r="D1522" t="str">
        <f t="shared" si="23"/>
        <v/>
      </c>
    </row>
    <row r="1523" spans="1:4">
      <c r="A1523" s="42" t="s">
        <v>1585</v>
      </c>
      <c r="B1523">
        <f>IFERROR(FIND('Simulador IR 2025'!$I$29, A1523), 0)</f>
        <v>1</v>
      </c>
      <c r="C1523">
        <f>IF(B1523&gt;0, MAX($C$2:C1522)+1, "")</f>
        <v>1521</v>
      </c>
      <c r="D1523" t="str">
        <f t="shared" si="23"/>
        <v/>
      </c>
    </row>
    <row r="1524" spans="1:4">
      <c r="A1524" s="42" t="s">
        <v>1586</v>
      </c>
      <c r="B1524">
        <f>IFERROR(FIND('Simulador IR 2025'!$I$29, A1524), 0)</f>
        <v>1</v>
      </c>
      <c r="C1524">
        <f>IF(B1524&gt;0, MAX($C$2:C1523)+1, "")</f>
        <v>1522</v>
      </c>
      <c r="D1524" t="str">
        <f t="shared" si="23"/>
        <v/>
      </c>
    </row>
    <row r="1525" spans="1:4">
      <c r="A1525" s="42" t="s">
        <v>1587</v>
      </c>
      <c r="B1525">
        <f>IFERROR(FIND('Simulador IR 2025'!$I$29, A1525), 0)</f>
        <v>1</v>
      </c>
      <c r="C1525">
        <f>IF(B1525&gt;0, MAX($C$2:C1524)+1, "")</f>
        <v>1523</v>
      </c>
      <c r="D1525" t="str">
        <f t="shared" si="23"/>
        <v/>
      </c>
    </row>
    <row r="1526" spans="1:4">
      <c r="A1526" s="42" t="s">
        <v>1588</v>
      </c>
      <c r="B1526">
        <f>IFERROR(FIND('Simulador IR 2025'!$I$29, A1526), 0)</f>
        <v>1</v>
      </c>
      <c r="C1526">
        <f>IF(B1526&gt;0, MAX($C$2:C1525)+1, "")</f>
        <v>1524</v>
      </c>
      <c r="D1526" t="str">
        <f t="shared" si="23"/>
        <v/>
      </c>
    </row>
    <row r="1527" spans="1:4">
      <c r="A1527" s="42" t="s">
        <v>1589</v>
      </c>
      <c r="B1527">
        <f>IFERROR(FIND('Simulador IR 2025'!$I$29, A1527), 0)</f>
        <v>1</v>
      </c>
      <c r="C1527">
        <f>IF(B1527&gt;0, MAX($C$2:C1526)+1, "")</f>
        <v>1525</v>
      </c>
      <c r="D1527" t="str">
        <f t="shared" si="23"/>
        <v/>
      </c>
    </row>
    <row r="1528" spans="1:4">
      <c r="A1528" s="42" t="s">
        <v>1590</v>
      </c>
      <c r="B1528">
        <f>IFERROR(FIND('Simulador IR 2025'!$I$29, A1528), 0)</f>
        <v>1</v>
      </c>
      <c r="C1528">
        <f>IF(B1528&gt;0, MAX($C$2:C1527)+1, "")</f>
        <v>1526</v>
      </c>
      <c r="D1528" t="str">
        <f t="shared" si="23"/>
        <v/>
      </c>
    </row>
    <row r="1529" spans="1:4">
      <c r="A1529" s="42" t="s">
        <v>1591</v>
      </c>
      <c r="B1529">
        <f>IFERROR(FIND('Simulador IR 2025'!$I$29, A1529), 0)</f>
        <v>1</v>
      </c>
      <c r="C1529">
        <f>IF(B1529&gt;0, MAX($C$2:C1528)+1, "")</f>
        <v>1527</v>
      </c>
      <c r="D1529" t="str">
        <f t="shared" si="23"/>
        <v/>
      </c>
    </row>
    <row r="1530" spans="1:4">
      <c r="A1530" s="42" t="s">
        <v>1592</v>
      </c>
      <c r="B1530">
        <f>IFERROR(FIND('Simulador IR 2025'!$I$29, A1530), 0)</f>
        <v>1</v>
      </c>
      <c r="C1530">
        <f>IF(B1530&gt;0, MAX($C$2:C1529)+1, "")</f>
        <v>1528</v>
      </c>
      <c r="D1530" t="str">
        <f t="shared" si="23"/>
        <v/>
      </c>
    </row>
    <row r="1531" spans="1:4">
      <c r="A1531" s="42" t="s">
        <v>1593</v>
      </c>
      <c r="B1531">
        <f>IFERROR(FIND('Simulador IR 2025'!$I$29, A1531), 0)</f>
        <v>1</v>
      </c>
      <c r="C1531">
        <f>IF(B1531&gt;0, MAX($C$2:C1530)+1, "")</f>
        <v>1529</v>
      </c>
      <c r="D1531" t="str">
        <f t="shared" si="23"/>
        <v/>
      </c>
    </row>
    <row r="1532" spans="1:4">
      <c r="A1532" s="42" t="s">
        <v>1594</v>
      </c>
      <c r="B1532">
        <f>IFERROR(FIND('Simulador IR 2025'!$I$29, A1532), 0)</f>
        <v>1</v>
      </c>
      <c r="C1532">
        <f>IF(B1532&gt;0, MAX($C$2:C1531)+1, "")</f>
        <v>1530</v>
      </c>
      <c r="D1532" t="str">
        <f t="shared" si="23"/>
        <v/>
      </c>
    </row>
    <row r="1533" spans="1:4">
      <c r="A1533" s="42" t="s">
        <v>1595</v>
      </c>
      <c r="B1533">
        <f>IFERROR(FIND('Simulador IR 2025'!$I$29, A1533), 0)</f>
        <v>1</v>
      </c>
      <c r="C1533">
        <f>IF(B1533&gt;0, MAX($C$2:C1532)+1, "")</f>
        <v>1531</v>
      </c>
      <c r="D1533" t="str">
        <f t="shared" si="23"/>
        <v/>
      </c>
    </row>
    <row r="1534" spans="1:4">
      <c r="A1534" s="42" t="s">
        <v>1596</v>
      </c>
      <c r="B1534">
        <f>IFERROR(FIND('Simulador IR 2025'!$I$29, A1534), 0)</f>
        <v>1</v>
      </c>
      <c r="C1534">
        <f>IF(B1534&gt;0, MAX($C$2:C1533)+1, "")</f>
        <v>1532</v>
      </c>
      <c r="D1534" t="str">
        <f t="shared" si="23"/>
        <v/>
      </c>
    </row>
    <row r="1535" spans="1:4">
      <c r="A1535" s="42" t="s">
        <v>1597</v>
      </c>
      <c r="B1535">
        <f>IFERROR(FIND('Simulador IR 2025'!$I$29, A1535), 0)</f>
        <v>1</v>
      </c>
      <c r="C1535">
        <f>IF(B1535&gt;0, MAX($C$2:C1534)+1, "")</f>
        <v>1533</v>
      </c>
      <c r="D1535" t="str">
        <f t="shared" si="23"/>
        <v/>
      </c>
    </row>
    <row r="1536" spans="1:4">
      <c r="A1536" s="42" t="s">
        <v>1598</v>
      </c>
      <c r="B1536">
        <f>IFERROR(FIND('Simulador IR 2025'!$I$29, A1536), 0)</f>
        <v>1</v>
      </c>
      <c r="C1536">
        <f>IF(B1536&gt;0, MAX($C$2:C1535)+1, "")</f>
        <v>1534</v>
      </c>
      <c r="D1536" t="str">
        <f t="shared" si="23"/>
        <v/>
      </c>
    </row>
    <row r="1537" spans="1:4">
      <c r="A1537" s="42" t="s">
        <v>1599</v>
      </c>
      <c r="B1537">
        <f>IFERROR(FIND('Simulador IR 2025'!$I$29, A1537), 0)</f>
        <v>1</v>
      </c>
      <c r="C1537">
        <f>IF(B1537&gt;0, MAX($C$2:C1536)+1, "")</f>
        <v>1535</v>
      </c>
      <c r="D1537" t="str">
        <f t="shared" si="23"/>
        <v/>
      </c>
    </row>
    <row r="1538" spans="1:4">
      <c r="A1538" s="42" t="s">
        <v>1600</v>
      </c>
      <c r="B1538">
        <f>IFERROR(FIND('Simulador IR 2025'!$I$29, A1538), 0)</f>
        <v>1</v>
      </c>
      <c r="C1538">
        <f>IF(B1538&gt;0, MAX($C$2:C1537)+1, "")</f>
        <v>1536</v>
      </c>
      <c r="D1538" t="str">
        <f t="shared" si="23"/>
        <v/>
      </c>
    </row>
    <row r="1539" spans="1:4">
      <c r="A1539" s="42" t="s">
        <v>1601</v>
      </c>
      <c r="B1539">
        <f>IFERROR(FIND('Simulador IR 2025'!$I$29, A1539), 0)</f>
        <v>1</v>
      </c>
      <c r="C1539">
        <f>IF(B1539&gt;0, MAX($C$2:C1538)+1, "")</f>
        <v>1537</v>
      </c>
      <c r="D1539" t="str">
        <f t="shared" si="23"/>
        <v/>
      </c>
    </row>
    <row r="1540" spans="1:4">
      <c r="A1540" s="42" t="s">
        <v>1602</v>
      </c>
      <c r="B1540">
        <f>IFERROR(FIND('Simulador IR 2025'!$I$29, A1540), 0)</f>
        <v>1</v>
      </c>
      <c r="C1540">
        <f>IF(B1540&gt;0, MAX($C$2:C1539)+1, "")</f>
        <v>1538</v>
      </c>
      <c r="D1540" t="str">
        <f t="shared" ref="D1540:D1603" si="24">IFERROR(VLOOKUP(ROW(A1538), $A$3:$C$2681, -2, FALSE), "")</f>
        <v/>
      </c>
    </row>
    <row r="1541" spans="1:4">
      <c r="A1541" s="42" t="s">
        <v>1603</v>
      </c>
      <c r="B1541">
        <f>IFERROR(FIND('Simulador IR 2025'!$I$29, A1541), 0)</f>
        <v>1</v>
      </c>
      <c r="C1541">
        <f>IF(B1541&gt;0, MAX($C$2:C1540)+1, "")</f>
        <v>1539</v>
      </c>
      <c r="D1541" t="str">
        <f t="shared" si="24"/>
        <v/>
      </c>
    </row>
    <row r="1542" spans="1:4">
      <c r="A1542" s="42" t="s">
        <v>1604</v>
      </c>
      <c r="B1542">
        <f>IFERROR(FIND('Simulador IR 2025'!$I$29, A1542), 0)</f>
        <v>1</v>
      </c>
      <c r="C1542">
        <f>IF(B1542&gt;0, MAX($C$2:C1541)+1, "")</f>
        <v>1540</v>
      </c>
      <c r="D1542" t="str">
        <f t="shared" si="24"/>
        <v/>
      </c>
    </row>
    <row r="1543" spans="1:4">
      <c r="A1543" s="42" t="s">
        <v>1605</v>
      </c>
      <c r="B1543">
        <f>IFERROR(FIND('Simulador IR 2025'!$I$29, A1543), 0)</f>
        <v>1</v>
      </c>
      <c r="C1543">
        <f>IF(B1543&gt;0, MAX($C$2:C1542)+1, "")</f>
        <v>1541</v>
      </c>
      <c r="D1543" t="str">
        <f t="shared" si="24"/>
        <v/>
      </c>
    </row>
    <row r="1544" spans="1:4">
      <c r="A1544" s="42" t="s">
        <v>1606</v>
      </c>
      <c r="B1544">
        <f>IFERROR(FIND('Simulador IR 2025'!$I$29, A1544), 0)</f>
        <v>1</v>
      </c>
      <c r="C1544">
        <f>IF(B1544&gt;0, MAX($C$2:C1543)+1, "")</f>
        <v>1542</v>
      </c>
      <c r="D1544" t="str">
        <f t="shared" si="24"/>
        <v/>
      </c>
    </row>
    <row r="1545" spans="1:4">
      <c r="A1545" s="42" t="s">
        <v>1607</v>
      </c>
      <c r="B1545">
        <f>IFERROR(FIND('Simulador IR 2025'!$I$29, A1545), 0)</f>
        <v>1</v>
      </c>
      <c r="C1545">
        <f>IF(B1545&gt;0, MAX($C$2:C1544)+1, "")</f>
        <v>1543</v>
      </c>
      <c r="D1545" t="str">
        <f t="shared" si="24"/>
        <v/>
      </c>
    </row>
    <row r="1546" spans="1:4">
      <c r="A1546" s="42" t="s">
        <v>1608</v>
      </c>
      <c r="B1546">
        <f>IFERROR(FIND('Simulador IR 2025'!$I$29, A1546), 0)</f>
        <v>1</v>
      </c>
      <c r="C1546">
        <f>IF(B1546&gt;0, MAX($C$2:C1545)+1, "")</f>
        <v>1544</v>
      </c>
      <c r="D1546" t="str">
        <f t="shared" si="24"/>
        <v/>
      </c>
    </row>
    <row r="1547" spans="1:4">
      <c r="A1547" s="42" t="s">
        <v>1609</v>
      </c>
      <c r="B1547">
        <f>IFERROR(FIND('Simulador IR 2025'!$I$29, A1547), 0)</f>
        <v>1</v>
      </c>
      <c r="C1547">
        <f>IF(B1547&gt;0, MAX($C$2:C1546)+1, "")</f>
        <v>1545</v>
      </c>
      <c r="D1547" t="str">
        <f t="shared" si="24"/>
        <v/>
      </c>
    </row>
    <row r="1548" spans="1:4">
      <c r="A1548" s="42" t="s">
        <v>1610</v>
      </c>
      <c r="B1548">
        <f>IFERROR(FIND('Simulador IR 2025'!$I$29, A1548), 0)</f>
        <v>1</v>
      </c>
      <c r="C1548">
        <f>IF(B1548&gt;0, MAX($C$2:C1547)+1, "")</f>
        <v>1546</v>
      </c>
      <c r="D1548" t="str">
        <f t="shared" si="24"/>
        <v/>
      </c>
    </row>
    <row r="1549" spans="1:4">
      <c r="A1549" s="42" t="s">
        <v>1611</v>
      </c>
      <c r="B1549">
        <f>IFERROR(FIND('Simulador IR 2025'!$I$29, A1549), 0)</f>
        <v>1</v>
      </c>
      <c r="C1549">
        <f>IF(B1549&gt;0, MAX($C$2:C1548)+1, "")</f>
        <v>1547</v>
      </c>
      <c r="D1549" t="str">
        <f t="shared" si="24"/>
        <v/>
      </c>
    </row>
    <row r="1550" spans="1:4">
      <c r="A1550" s="42" t="s">
        <v>1612</v>
      </c>
      <c r="B1550">
        <f>IFERROR(FIND('Simulador IR 2025'!$I$29, A1550), 0)</f>
        <v>1</v>
      </c>
      <c r="C1550">
        <f>IF(B1550&gt;0, MAX($C$2:C1549)+1, "")</f>
        <v>1548</v>
      </c>
      <c r="D1550" t="str">
        <f t="shared" si="24"/>
        <v/>
      </c>
    </row>
    <row r="1551" spans="1:4">
      <c r="A1551" s="42" t="s">
        <v>1613</v>
      </c>
      <c r="B1551">
        <f>IFERROR(FIND('Simulador IR 2025'!$I$29, A1551), 0)</f>
        <v>1</v>
      </c>
      <c r="C1551">
        <f>IF(B1551&gt;0, MAX($C$2:C1550)+1, "")</f>
        <v>1549</v>
      </c>
      <c r="D1551" t="str">
        <f t="shared" si="24"/>
        <v/>
      </c>
    </row>
    <row r="1552" spans="1:4">
      <c r="A1552" s="42" t="s">
        <v>1614</v>
      </c>
      <c r="B1552">
        <f>IFERROR(FIND('Simulador IR 2025'!$I$29, A1552), 0)</f>
        <v>1</v>
      </c>
      <c r="C1552">
        <f>IF(B1552&gt;0, MAX($C$2:C1551)+1, "")</f>
        <v>1550</v>
      </c>
      <c r="D1552" t="str">
        <f t="shared" si="24"/>
        <v/>
      </c>
    </row>
    <row r="1553" spans="1:4">
      <c r="A1553" s="42" t="s">
        <v>1615</v>
      </c>
      <c r="B1553">
        <f>IFERROR(FIND('Simulador IR 2025'!$I$29, A1553), 0)</f>
        <v>1</v>
      </c>
      <c r="C1553">
        <f>IF(B1553&gt;0, MAX($C$2:C1552)+1, "")</f>
        <v>1551</v>
      </c>
      <c r="D1553" t="str">
        <f t="shared" si="24"/>
        <v/>
      </c>
    </row>
    <row r="1554" spans="1:4">
      <c r="A1554" s="42" t="s">
        <v>1616</v>
      </c>
      <c r="B1554">
        <f>IFERROR(FIND('Simulador IR 2025'!$I$29, A1554), 0)</f>
        <v>1</v>
      </c>
      <c r="C1554">
        <f>IF(B1554&gt;0, MAX($C$2:C1553)+1, "")</f>
        <v>1552</v>
      </c>
      <c r="D1554" t="str">
        <f t="shared" si="24"/>
        <v/>
      </c>
    </row>
    <row r="1555" spans="1:4">
      <c r="A1555" s="42" t="s">
        <v>1617</v>
      </c>
      <c r="B1555">
        <f>IFERROR(FIND('Simulador IR 2025'!$I$29, A1555), 0)</f>
        <v>1</v>
      </c>
      <c r="C1555">
        <f>IF(B1555&gt;0, MAX($C$2:C1554)+1, "")</f>
        <v>1553</v>
      </c>
      <c r="D1555" t="str">
        <f t="shared" si="24"/>
        <v/>
      </c>
    </row>
    <row r="1556" spans="1:4">
      <c r="A1556" s="42" t="s">
        <v>1618</v>
      </c>
      <c r="B1556">
        <f>IFERROR(FIND('Simulador IR 2025'!$I$29, A1556), 0)</f>
        <v>1</v>
      </c>
      <c r="C1556">
        <f>IF(B1556&gt;0, MAX($C$2:C1555)+1, "")</f>
        <v>1554</v>
      </c>
      <c r="D1556" t="str">
        <f t="shared" si="24"/>
        <v/>
      </c>
    </row>
    <row r="1557" spans="1:4">
      <c r="A1557" s="42" t="s">
        <v>1619</v>
      </c>
      <c r="B1557">
        <f>IFERROR(FIND('Simulador IR 2025'!$I$29, A1557), 0)</f>
        <v>1</v>
      </c>
      <c r="C1557">
        <f>IF(B1557&gt;0, MAX($C$2:C1556)+1, "")</f>
        <v>1555</v>
      </c>
      <c r="D1557" t="str">
        <f t="shared" si="24"/>
        <v/>
      </c>
    </row>
    <row r="1558" spans="1:4">
      <c r="A1558" s="42" t="s">
        <v>1620</v>
      </c>
      <c r="B1558">
        <f>IFERROR(FIND('Simulador IR 2025'!$I$29, A1558), 0)</f>
        <v>1</v>
      </c>
      <c r="C1558">
        <f>IF(B1558&gt;0, MAX($C$2:C1557)+1, "")</f>
        <v>1556</v>
      </c>
      <c r="D1558" t="str">
        <f t="shared" si="24"/>
        <v/>
      </c>
    </row>
    <row r="1559" spans="1:4">
      <c r="A1559" s="42" t="s">
        <v>1621</v>
      </c>
      <c r="B1559">
        <f>IFERROR(FIND('Simulador IR 2025'!$I$29, A1559), 0)</f>
        <v>1</v>
      </c>
      <c r="C1559">
        <f>IF(B1559&gt;0, MAX($C$2:C1558)+1, "")</f>
        <v>1557</v>
      </c>
      <c r="D1559" t="str">
        <f t="shared" si="24"/>
        <v/>
      </c>
    </row>
    <row r="1560" spans="1:4">
      <c r="A1560" s="42" t="s">
        <v>1622</v>
      </c>
      <c r="B1560">
        <f>IFERROR(FIND('Simulador IR 2025'!$I$29, A1560), 0)</f>
        <v>1</v>
      </c>
      <c r="C1560">
        <f>IF(B1560&gt;0, MAX($C$2:C1559)+1, "")</f>
        <v>1558</v>
      </c>
      <c r="D1560" t="str">
        <f t="shared" si="24"/>
        <v/>
      </c>
    </row>
    <row r="1561" spans="1:4">
      <c r="A1561" s="42" t="s">
        <v>1623</v>
      </c>
      <c r="B1561">
        <f>IFERROR(FIND('Simulador IR 2025'!$I$29, A1561), 0)</f>
        <v>1</v>
      </c>
      <c r="C1561">
        <f>IF(B1561&gt;0, MAX($C$2:C1560)+1, "")</f>
        <v>1559</v>
      </c>
      <c r="D1561" t="str">
        <f t="shared" si="24"/>
        <v/>
      </c>
    </row>
    <row r="1562" spans="1:4">
      <c r="A1562" s="42" t="s">
        <v>1624</v>
      </c>
      <c r="B1562">
        <f>IFERROR(FIND('Simulador IR 2025'!$I$29, A1562), 0)</f>
        <v>1</v>
      </c>
      <c r="C1562">
        <f>IF(B1562&gt;0, MAX($C$2:C1561)+1, "")</f>
        <v>1560</v>
      </c>
      <c r="D1562" t="str">
        <f t="shared" si="24"/>
        <v/>
      </c>
    </row>
    <row r="1563" spans="1:4">
      <c r="A1563" s="42" t="s">
        <v>1625</v>
      </c>
      <c r="B1563">
        <f>IFERROR(FIND('Simulador IR 2025'!$I$29, A1563), 0)</f>
        <v>1</v>
      </c>
      <c r="C1563">
        <f>IF(B1563&gt;0, MAX($C$2:C1562)+1, "")</f>
        <v>1561</v>
      </c>
      <c r="D1563" t="str">
        <f t="shared" si="24"/>
        <v/>
      </c>
    </row>
    <row r="1564" spans="1:4">
      <c r="A1564" s="42" t="s">
        <v>1626</v>
      </c>
      <c r="B1564">
        <f>IFERROR(FIND('Simulador IR 2025'!$I$29, A1564), 0)</f>
        <v>1</v>
      </c>
      <c r="C1564">
        <f>IF(B1564&gt;0, MAX($C$2:C1563)+1, "")</f>
        <v>1562</v>
      </c>
      <c r="D1564" t="str">
        <f t="shared" si="24"/>
        <v/>
      </c>
    </row>
    <row r="1565" spans="1:4">
      <c r="A1565" s="42" t="s">
        <v>1627</v>
      </c>
      <c r="B1565">
        <f>IFERROR(FIND('Simulador IR 2025'!$I$29, A1565), 0)</f>
        <v>1</v>
      </c>
      <c r="C1565">
        <f>IF(B1565&gt;0, MAX($C$2:C1564)+1, "")</f>
        <v>1563</v>
      </c>
      <c r="D1565" t="str">
        <f t="shared" si="24"/>
        <v/>
      </c>
    </row>
    <row r="1566" spans="1:4">
      <c r="A1566" s="42" t="s">
        <v>1628</v>
      </c>
      <c r="B1566">
        <f>IFERROR(FIND('Simulador IR 2025'!$I$29, A1566), 0)</f>
        <v>1</v>
      </c>
      <c r="C1566">
        <f>IF(B1566&gt;0, MAX($C$2:C1565)+1, "")</f>
        <v>1564</v>
      </c>
      <c r="D1566" t="str">
        <f t="shared" si="24"/>
        <v/>
      </c>
    </row>
    <row r="1567" spans="1:4">
      <c r="A1567" s="42" t="s">
        <v>1629</v>
      </c>
      <c r="B1567">
        <f>IFERROR(FIND('Simulador IR 2025'!$I$29, A1567), 0)</f>
        <v>1</v>
      </c>
      <c r="C1567">
        <f>IF(B1567&gt;0, MAX($C$2:C1566)+1, "")</f>
        <v>1565</v>
      </c>
      <c r="D1567" t="str">
        <f t="shared" si="24"/>
        <v/>
      </c>
    </row>
    <row r="1568" spans="1:4">
      <c r="A1568" s="42" t="s">
        <v>1630</v>
      </c>
      <c r="B1568">
        <f>IFERROR(FIND('Simulador IR 2025'!$I$29, A1568), 0)</f>
        <v>1</v>
      </c>
      <c r="C1568">
        <f>IF(B1568&gt;0, MAX($C$2:C1567)+1, "")</f>
        <v>1566</v>
      </c>
      <c r="D1568" t="str">
        <f t="shared" si="24"/>
        <v/>
      </c>
    </row>
    <row r="1569" spans="1:4">
      <c r="A1569" s="42" t="s">
        <v>1631</v>
      </c>
      <c r="B1569">
        <f>IFERROR(FIND('Simulador IR 2025'!$I$29, A1569), 0)</f>
        <v>1</v>
      </c>
      <c r="C1569">
        <f>IF(B1569&gt;0, MAX($C$2:C1568)+1, "")</f>
        <v>1567</v>
      </c>
      <c r="D1569" t="str">
        <f t="shared" si="24"/>
        <v/>
      </c>
    </row>
    <row r="1570" spans="1:4">
      <c r="A1570" s="42" t="s">
        <v>1632</v>
      </c>
      <c r="B1570">
        <f>IFERROR(FIND('Simulador IR 2025'!$I$29, A1570), 0)</f>
        <v>1</v>
      </c>
      <c r="C1570">
        <f>IF(B1570&gt;0, MAX($C$2:C1569)+1, "")</f>
        <v>1568</v>
      </c>
      <c r="D1570" t="str">
        <f t="shared" si="24"/>
        <v/>
      </c>
    </row>
    <row r="1571" spans="1:4">
      <c r="A1571" s="42" t="s">
        <v>1633</v>
      </c>
      <c r="B1571">
        <f>IFERROR(FIND('Simulador IR 2025'!$I$29, A1571), 0)</f>
        <v>1</v>
      </c>
      <c r="C1571">
        <f>IF(B1571&gt;0, MAX($C$2:C1570)+1, "")</f>
        <v>1569</v>
      </c>
      <c r="D1571" t="str">
        <f t="shared" si="24"/>
        <v/>
      </c>
    </row>
    <row r="1572" spans="1:4">
      <c r="A1572" s="42" t="s">
        <v>1634</v>
      </c>
      <c r="B1572">
        <f>IFERROR(FIND('Simulador IR 2025'!$I$29, A1572), 0)</f>
        <v>1</v>
      </c>
      <c r="C1572">
        <f>IF(B1572&gt;0, MAX($C$2:C1571)+1, "")</f>
        <v>1570</v>
      </c>
      <c r="D1572" t="str">
        <f t="shared" si="24"/>
        <v/>
      </c>
    </row>
    <row r="1573" spans="1:4">
      <c r="A1573" s="42" t="s">
        <v>1635</v>
      </c>
      <c r="B1573">
        <f>IFERROR(FIND('Simulador IR 2025'!$I$29, A1573), 0)</f>
        <v>1</v>
      </c>
      <c r="C1573">
        <f>IF(B1573&gt;0, MAX($C$2:C1572)+1, "")</f>
        <v>1571</v>
      </c>
      <c r="D1573" t="str">
        <f t="shared" si="24"/>
        <v/>
      </c>
    </row>
    <row r="1574" spans="1:4">
      <c r="A1574" s="42" t="s">
        <v>1636</v>
      </c>
      <c r="B1574">
        <f>IFERROR(FIND('Simulador IR 2025'!$I$29, A1574), 0)</f>
        <v>1</v>
      </c>
      <c r="C1574">
        <f>IF(B1574&gt;0, MAX($C$2:C1573)+1, "")</f>
        <v>1572</v>
      </c>
      <c r="D1574" t="str">
        <f t="shared" si="24"/>
        <v/>
      </c>
    </row>
    <row r="1575" spans="1:4">
      <c r="A1575" s="42" t="s">
        <v>1637</v>
      </c>
      <c r="B1575">
        <f>IFERROR(FIND('Simulador IR 2025'!$I$29, A1575), 0)</f>
        <v>1</v>
      </c>
      <c r="C1575">
        <f>IF(B1575&gt;0, MAX($C$2:C1574)+1, "")</f>
        <v>1573</v>
      </c>
      <c r="D1575" t="str">
        <f t="shared" si="24"/>
        <v/>
      </c>
    </row>
    <row r="1576" spans="1:4">
      <c r="A1576" s="42" t="s">
        <v>1638</v>
      </c>
      <c r="B1576">
        <f>IFERROR(FIND('Simulador IR 2025'!$I$29, A1576), 0)</f>
        <v>1</v>
      </c>
      <c r="C1576">
        <f>IF(B1576&gt;0, MAX($C$2:C1575)+1, "")</f>
        <v>1574</v>
      </c>
      <c r="D1576" t="str">
        <f t="shared" si="24"/>
        <v/>
      </c>
    </row>
    <row r="1577" spans="1:4">
      <c r="A1577" s="42" t="s">
        <v>1639</v>
      </c>
      <c r="B1577">
        <f>IFERROR(FIND('Simulador IR 2025'!$I$29, A1577), 0)</f>
        <v>1</v>
      </c>
      <c r="C1577">
        <f>IF(B1577&gt;0, MAX($C$2:C1576)+1, "")</f>
        <v>1575</v>
      </c>
      <c r="D1577" t="str">
        <f t="shared" si="24"/>
        <v/>
      </c>
    </row>
    <row r="1578" spans="1:4">
      <c r="A1578" s="42" t="s">
        <v>1640</v>
      </c>
      <c r="B1578">
        <f>IFERROR(FIND('Simulador IR 2025'!$I$29, A1578), 0)</f>
        <v>1</v>
      </c>
      <c r="C1578">
        <f>IF(B1578&gt;0, MAX($C$2:C1577)+1, "")</f>
        <v>1576</v>
      </c>
      <c r="D1578" t="str">
        <f t="shared" si="24"/>
        <v/>
      </c>
    </row>
    <row r="1579" spans="1:4">
      <c r="A1579" s="42" t="s">
        <v>1641</v>
      </c>
      <c r="B1579">
        <f>IFERROR(FIND('Simulador IR 2025'!$I$29, A1579), 0)</f>
        <v>1</v>
      </c>
      <c r="C1579">
        <f>IF(B1579&gt;0, MAX($C$2:C1578)+1, "")</f>
        <v>1577</v>
      </c>
      <c r="D1579" t="str">
        <f t="shared" si="24"/>
        <v/>
      </c>
    </row>
    <row r="1580" spans="1:4">
      <c r="A1580" s="42" t="s">
        <v>1642</v>
      </c>
      <c r="B1580">
        <f>IFERROR(FIND('Simulador IR 2025'!$I$29, A1580), 0)</f>
        <v>1</v>
      </c>
      <c r="C1580">
        <f>IF(B1580&gt;0, MAX($C$2:C1579)+1, "")</f>
        <v>1578</v>
      </c>
      <c r="D1580" t="str">
        <f t="shared" si="24"/>
        <v/>
      </c>
    </row>
    <row r="1581" spans="1:4">
      <c r="A1581" s="42" t="s">
        <v>1643</v>
      </c>
      <c r="B1581">
        <f>IFERROR(FIND('Simulador IR 2025'!$I$29, A1581), 0)</f>
        <v>1</v>
      </c>
      <c r="C1581">
        <f>IF(B1581&gt;0, MAX($C$2:C1580)+1, "")</f>
        <v>1579</v>
      </c>
      <c r="D1581" t="str">
        <f t="shared" si="24"/>
        <v/>
      </c>
    </row>
    <row r="1582" spans="1:4">
      <c r="A1582" s="42" t="s">
        <v>1644</v>
      </c>
      <c r="B1582">
        <f>IFERROR(FIND('Simulador IR 2025'!$I$29, A1582), 0)</f>
        <v>1</v>
      </c>
      <c r="C1582">
        <f>IF(B1582&gt;0, MAX($C$2:C1581)+1, "")</f>
        <v>1580</v>
      </c>
      <c r="D1582" t="str">
        <f t="shared" si="24"/>
        <v/>
      </c>
    </row>
    <row r="1583" spans="1:4">
      <c r="A1583" s="42" t="s">
        <v>1645</v>
      </c>
      <c r="B1583">
        <f>IFERROR(FIND('Simulador IR 2025'!$I$29, A1583), 0)</f>
        <v>1</v>
      </c>
      <c r="C1583">
        <f>IF(B1583&gt;0, MAX($C$2:C1582)+1, "")</f>
        <v>1581</v>
      </c>
      <c r="D1583" t="str">
        <f t="shared" si="24"/>
        <v/>
      </c>
    </row>
    <row r="1584" spans="1:4">
      <c r="A1584" s="42" t="s">
        <v>1646</v>
      </c>
      <c r="B1584">
        <f>IFERROR(FIND('Simulador IR 2025'!$I$29, A1584), 0)</f>
        <v>1</v>
      </c>
      <c r="C1584">
        <f>IF(B1584&gt;0, MAX($C$2:C1583)+1, "")</f>
        <v>1582</v>
      </c>
      <c r="D1584" t="str">
        <f t="shared" si="24"/>
        <v/>
      </c>
    </row>
    <row r="1585" spans="1:4">
      <c r="A1585" s="42" t="s">
        <v>1647</v>
      </c>
      <c r="B1585">
        <f>IFERROR(FIND('Simulador IR 2025'!$I$29, A1585), 0)</f>
        <v>1</v>
      </c>
      <c r="C1585">
        <f>IF(B1585&gt;0, MAX($C$2:C1584)+1, "")</f>
        <v>1583</v>
      </c>
      <c r="D1585" t="str">
        <f t="shared" si="24"/>
        <v/>
      </c>
    </row>
    <row r="1586" spans="1:4">
      <c r="A1586" s="42" t="s">
        <v>1648</v>
      </c>
      <c r="B1586">
        <f>IFERROR(FIND('Simulador IR 2025'!$I$29, A1586), 0)</f>
        <v>1</v>
      </c>
      <c r="C1586">
        <f>IF(B1586&gt;0, MAX($C$2:C1585)+1, "")</f>
        <v>1584</v>
      </c>
      <c r="D1586" t="str">
        <f t="shared" si="24"/>
        <v/>
      </c>
    </row>
    <row r="1587" spans="1:4">
      <c r="A1587" s="42" t="s">
        <v>1649</v>
      </c>
      <c r="B1587">
        <f>IFERROR(FIND('Simulador IR 2025'!$I$29, A1587), 0)</f>
        <v>1</v>
      </c>
      <c r="C1587">
        <f>IF(B1587&gt;0, MAX($C$2:C1586)+1, "")</f>
        <v>1585</v>
      </c>
      <c r="D1587" t="str">
        <f t="shared" si="24"/>
        <v/>
      </c>
    </row>
    <row r="1588" spans="1:4">
      <c r="A1588" s="42" t="s">
        <v>1650</v>
      </c>
      <c r="B1588">
        <f>IFERROR(FIND('Simulador IR 2025'!$I$29, A1588), 0)</f>
        <v>1</v>
      </c>
      <c r="C1588">
        <f>IF(B1588&gt;0, MAX($C$2:C1587)+1, "")</f>
        <v>1586</v>
      </c>
      <c r="D1588" t="str">
        <f t="shared" si="24"/>
        <v/>
      </c>
    </row>
    <row r="1589" spans="1:4">
      <c r="A1589" s="42" t="s">
        <v>1651</v>
      </c>
      <c r="B1589">
        <f>IFERROR(FIND('Simulador IR 2025'!$I$29, A1589), 0)</f>
        <v>1</v>
      </c>
      <c r="C1589">
        <f>IF(B1589&gt;0, MAX($C$2:C1588)+1, "")</f>
        <v>1587</v>
      </c>
      <c r="D1589" t="str">
        <f t="shared" si="24"/>
        <v/>
      </c>
    </row>
    <row r="1590" spans="1:4">
      <c r="A1590" s="42" t="s">
        <v>1652</v>
      </c>
      <c r="B1590">
        <f>IFERROR(FIND('Simulador IR 2025'!$I$29, A1590), 0)</f>
        <v>1</v>
      </c>
      <c r="C1590">
        <f>IF(B1590&gt;0, MAX($C$2:C1589)+1, "")</f>
        <v>1588</v>
      </c>
      <c r="D1590" t="str">
        <f t="shared" si="24"/>
        <v/>
      </c>
    </row>
    <row r="1591" spans="1:4">
      <c r="A1591" s="42" t="s">
        <v>1653</v>
      </c>
      <c r="B1591">
        <f>IFERROR(FIND('Simulador IR 2025'!$I$29, A1591), 0)</f>
        <v>1</v>
      </c>
      <c r="C1591">
        <f>IF(B1591&gt;0, MAX($C$2:C1590)+1, "")</f>
        <v>1589</v>
      </c>
      <c r="D1591" t="str">
        <f t="shared" si="24"/>
        <v/>
      </c>
    </row>
    <row r="1592" spans="1:4">
      <c r="A1592" s="42" t="s">
        <v>1654</v>
      </c>
      <c r="B1592">
        <f>IFERROR(FIND('Simulador IR 2025'!$I$29, A1592), 0)</f>
        <v>1</v>
      </c>
      <c r="C1592">
        <f>IF(B1592&gt;0, MAX($C$2:C1591)+1, "")</f>
        <v>1590</v>
      </c>
      <c r="D1592" t="str">
        <f t="shared" si="24"/>
        <v/>
      </c>
    </row>
    <row r="1593" spans="1:4">
      <c r="A1593" s="42" t="s">
        <v>1655</v>
      </c>
      <c r="B1593">
        <f>IFERROR(FIND('Simulador IR 2025'!$I$29, A1593), 0)</f>
        <v>1</v>
      </c>
      <c r="C1593">
        <f>IF(B1593&gt;0, MAX($C$2:C1592)+1, "")</f>
        <v>1591</v>
      </c>
      <c r="D1593" t="str">
        <f t="shared" si="24"/>
        <v/>
      </c>
    </row>
    <row r="1594" spans="1:4">
      <c r="A1594" s="42" t="s">
        <v>1656</v>
      </c>
      <c r="B1594">
        <f>IFERROR(FIND('Simulador IR 2025'!$I$29, A1594), 0)</f>
        <v>1</v>
      </c>
      <c r="C1594">
        <f>IF(B1594&gt;0, MAX($C$2:C1593)+1, "")</f>
        <v>1592</v>
      </c>
      <c r="D1594" t="str">
        <f t="shared" si="24"/>
        <v/>
      </c>
    </row>
    <row r="1595" spans="1:4">
      <c r="A1595" s="42" t="s">
        <v>1657</v>
      </c>
      <c r="B1595">
        <f>IFERROR(FIND('Simulador IR 2025'!$I$29, A1595), 0)</f>
        <v>1</v>
      </c>
      <c r="C1595">
        <f>IF(B1595&gt;0, MAX($C$2:C1594)+1, "")</f>
        <v>1593</v>
      </c>
      <c r="D1595" t="str">
        <f t="shared" si="24"/>
        <v/>
      </c>
    </row>
    <row r="1596" spans="1:4">
      <c r="A1596" s="42" t="s">
        <v>1658</v>
      </c>
      <c r="B1596">
        <f>IFERROR(FIND('Simulador IR 2025'!$I$29, A1596), 0)</f>
        <v>1</v>
      </c>
      <c r="C1596">
        <f>IF(B1596&gt;0, MAX($C$2:C1595)+1, "")</f>
        <v>1594</v>
      </c>
      <c r="D1596" t="str">
        <f t="shared" si="24"/>
        <v/>
      </c>
    </row>
    <row r="1597" spans="1:4">
      <c r="A1597" s="42" t="s">
        <v>1659</v>
      </c>
      <c r="B1597">
        <f>IFERROR(FIND('Simulador IR 2025'!$I$29, A1597), 0)</f>
        <v>1</v>
      </c>
      <c r="C1597">
        <f>IF(B1597&gt;0, MAX($C$2:C1596)+1, "")</f>
        <v>1595</v>
      </c>
      <c r="D1597" t="str">
        <f t="shared" si="24"/>
        <v/>
      </c>
    </row>
    <row r="1598" spans="1:4">
      <c r="A1598" s="42" t="s">
        <v>1660</v>
      </c>
      <c r="B1598">
        <f>IFERROR(FIND('Simulador IR 2025'!$I$29, A1598), 0)</f>
        <v>1</v>
      </c>
      <c r="C1598">
        <f>IF(B1598&gt;0, MAX($C$2:C1597)+1, "")</f>
        <v>1596</v>
      </c>
      <c r="D1598" t="str">
        <f t="shared" si="24"/>
        <v/>
      </c>
    </row>
    <row r="1599" spans="1:4">
      <c r="A1599" s="42" t="s">
        <v>1661</v>
      </c>
      <c r="B1599">
        <f>IFERROR(FIND('Simulador IR 2025'!$I$29, A1599), 0)</f>
        <v>1</v>
      </c>
      <c r="C1599">
        <f>IF(B1599&gt;0, MAX($C$2:C1598)+1, "")</f>
        <v>1597</v>
      </c>
      <c r="D1599" t="str">
        <f t="shared" si="24"/>
        <v/>
      </c>
    </row>
    <row r="1600" spans="1:4">
      <c r="A1600" s="42" t="s">
        <v>1662</v>
      </c>
      <c r="B1600">
        <f>IFERROR(FIND('Simulador IR 2025'!$I$29, A1600), 0)</f>
        <v>1</v>
      </c>
      <c r="C1600">
        <f>IF(B1600&gt;0, MAX($C$2:C1599)+1, "")</f>
        <v>1598</v>
      </c>
      <c r="D1600" t="str">
        <f t="shared" si="24"/>
        <v/>
      </c>
    </row>
    <row r="1601" spans="1:4">
      <c r="A1601" s="42" t="s">
        <v>1663</v>
      </c>
      <c r="B1601">
        <f>IFERROR(FIND('Simulador IR 2025'!$I$29, A1601), 0)</f>
        <v>1</v>
      </c>
      <c r="C1601">
        <f>IF(B1601&gt;0, MAX($C$2:C1600)+1, "")</f>
        <v>1599</v>
      </c>
      <c r="D1601" t="str">
        <f t="shared" si="24"/>
        <v/>
      </c>
    </row>
    <row r="1602" spans="1:4">
      <c r="A1602" s="42" t="s">
        <v>1664</v>
      </c>
      <c r="B1602">
        <f>IFERROR(FIND('Simulador IR 2025'!$I$29, A1602), 0)</f>
        <v>1</v>
      </c>
      <c r="C1602">
        <f>IF(B1602&gt;0, MAX($C$2:C1601)+1, "")</f>
        <v>1600</v>
      </c>
      <c r="D1602" t="str">
        <f t="shared" si="24"/>
        <v/>
      </c>
    </row>
    <row r="1603" spans="1:4">
      <c r="A1603" s="42" t="s">
        <v>1665</v>
      </c>
      <c r="B1603">
        <f>IFERROR(FIND('Simulador IR 2025'!$I$29, A1603), 0)</f>
        <v>1</v>
      </c>
      <c r="C1603">
        <f>IF(B1603&gt;0, MAX($C$2:C1602)+1, "")</f>
        <v>1601</v>
      </c>
      <c r="D1603" t="str">
        <f t="shared" si="24"/>
        <v/>
      </c>
    </row>
    <row r="1604" spans="1:4">
      <c r="A1604" s="42" t="s">
        <v>1666</v>
      </c>
      <c r="B1604">
        <f>IFERROR(FIND('Simulador IR 2025'!$I$29, A1604), 0)</f>
        <v>1</v>
      </c>
      <c r="C1604">
        <f>IF(B1604&gt;0, MAX($C$2:C1603)+1, "")</f>
        <v>1602</v>
      </c>
      <c r="D1604" t="str">
        <f t="shared" ref="D1604:D1667" si="25">IFERROR(VLOOKUP(ROW(A1602), $A$3:$C$2681, -2, FALSE), "")</f>
        <v/>
      </c>
    </row>
    <row r="1605" spans="1:4">
      <c r="A1605" s="42" t="s">
        <v>1667</v>
      </c>
      <c r="B1605">
        <f>IFERROR(FIND('Simulador IR 2025'!$I$29, A1605), 0)</f>
        <v>1</v>
      </c>
      <c r="C1605">
        <f>IF(B1605&gt;0, MAX($C$2:C1604)+1, "")</f>
        <v>1603</v>
      </c>
      <c r="D1605" t="str">
        <f t="shared" si="25"/>
        <v/>
      </c>
    </row>
    <row r="1606" spans="1:4">
      <c r="A1606" s="42" t="s">
        <v>1668</v>
      </c>
      <c r="B1606">
        <f>IFERROR(FIND('Simulador IR 2025'!$I$29, A1606), 0)</f>
        <v>1</v>
      </c>
      <c r="C1606">
        <f>IF(B1606&gt;0, MAX($C$2:C1605)+1, "")</f>
        <v>1604</v>
      </c>
      <c r="D1606" t="str">
        <f t="shared" si="25"/>
        <v/>
      </c>
    </row>
    <row r="1607" spans="1:4">
      <c r="A1607" s="42" t="s">
        <v>1669</v>
      </c>
      <c r="B1607">
        <f>IFERROR(FIND('Simulador IR 2025'!$I$29, A1607), 0)</f>
        <v>1</v>
      </c>
      <c r="C1607">
        <f>IF(B1607&gt;0, MAX($C$2:C1606)+1, "")</f>
        <v>1605</v>
      </c>
      <c r="D1607" t="str">
        <f t="shared" si="25"/>
        <v/>
      </c>
    </row>
    <row r="1608" spans="1:4">
      <c r="A1608" s="42" t="s">
        <v>1670</v>
      </c>
      <c r="B1608">
        <f>IFERROR(FIND('Simulador IR 2025'!$I$29, A1608), 0)</f>
        <v>1</v>
      </c>
      <c r="C1608">
        <f>IF(B1608&gt;0, MAX($C$2:C1607)+1, "")</f>
        <v>1606</v>
      </c>
      <c r="D1608" t="str">
        <f t="shared" si="25"/>
        <v/>
      </c>
    </row>
    <row r="1609" spans="1:4">
      <c r="A1609" s="42" t="s">
        <v>1671</v>
      </c>
      <c r="B1609">
        <f>IFERROR(FIND('Simulador IR 2025'!$I$29, A1609), 0)</f>
        <v>1</v>
      </c>
      <c r="C1609">
        <f>IF(B1609&gt;0, MAX($C$2:C1608)+1, "")</f>
        <v>1607</v>
      </c>
      <c r="D1609" t="str">
        <f t="shared" si="25"/>
        <v/>
      </c>
    </row>
    <row r="1610" spans="1:4">
      <c r="A1610" s="42" t="s">
        <v>1672</v>
      </c>
      <c r="B1610">
        <f>IFERROR(FIND('Simulador IR 2025'!$I$29, A1610), 0)</f>
        <v>1</v>
      </c>
      <c r="C1610">
        <f>IF(B1610&gt;0, MAX($C$2:C1609)+1, "")</f>
        <v>1608</v>
      </c>
      <c r="D1610" t="str">
        <f t="shared" si="25"/>
        <v/>
      </c>
    </row>
    <row r="1611" spans="1:4">
      <c r="A1611" s="42" t="s">
        <v>1673</v>
      </c>
      <c r="B1611">
        <f>IFERROR(FIND('Simulador IR 2025'!$I$29, A1611), 0)</f>
        <v>1</v>
      </c>
      <c r="C1611">
        <f>IF(B1611&gt;0, MAX($C$2:C1610)+1, "")</f>
        <v>1609</v>
      </c>
      <c r="D1611" t="str">
        <f t="shared" si="25"/>
        <v/>
      </c>
    </row>
    <row r="1612" spans="1:4">
      <c r="A1612" s="42" t="s">
        <v>1674</v>
      </c>
      <c r="B1612">
        <f>IFERROR(FIND('Simulador IR 2025'!$I$29, A1612), 0)</f>
        <v>1</v>
      </c>
      <c r="C1612">
        <f>IF(B1612&gt;0, MAX($C$2:C1611)+1, "")</f>
        <v>1610</v>
      </c>
      <c r="D1612" t="str">
        <f t="shared" si="25"/>
        <v/>
      </c>
    </row>
    <row r="1613" spans="1:4">
      <c r="A1613" s="42" t="s">
        <v>1675</v>
      </c>
      <c r="B1613">
        <f>IFERROR(FIND('Simulador IR 2025'!$I$29, A1613), 0)</f>
        <v>1</v>
      </c>
      <c r="C1613">
        <f>IF(B1613&gt;0, MAX($C$2:C1612)+1, "")</f>
        <v>1611</v>
      </c>
      <c r="D1613" t="str">
        <f t="shared" si="25"/>
        <v/>
      </c>
    </row>
    <row r="1614" spans="1:4">
      <c r="A1614" s="42" t="s">
        <v>1676</v>
      </c>
      <c r="B1614">
        <f>IFERROR(FIND('Simulador IR 2025'!$I$29, A1614), 0)</f>
        <v>1</v>
      </c>
      <c r="C1614">
        <f>IF(B1614&gt;0, MAX($C$2:C1613)+1, "")</f>
        <v>1612</v>
      </c>
      <c r="D1614" t="str">
        <f t="shared" si="25"/>
        <v/>
      </c>
    </row>
    <row r="1615" spans="1:4">
      <c r="A1615" s="42" t="s">
        <v>1677</v>
      </c>
      <c r="B1615">
        <f>IFERROR(FIND('Simulador IR 2025'!$I$29, A1615), 0)</f>
        <v>1</v>
      </c>
      <c r="C1615">
        <f>IF(B1615&gt;0, MAX($C$2:C1614)+1, "")</f>
        <v>1613</v>
      </c>
      <c r="D1615" t="str">
        <f t="shared" si="25"/>
        <v/>
      </c>
    </row>
    <row r="1616" spans="1:4">
      <c r="A1616" s="42" t="s">
        <v>1678</v>
      </c>
      <c r="B1616">
        <f>IFERROR(FIND('Simulador IR 2025'!$I$29, A1616), 0)</f>
        <v>1</v>
      </c>
      <c r="C1616">
        <f>IF(B1616&gt;0, MAX($C$2:C1615)+1, "")</f>
        <v>1614</v>
      </c>
      <c r="D1616" t="str">
        <f t="shared" si="25"/>
        <v/>
      </c>
    </row>
    <row r="1617" spans="1:4">
      <c r="A1617" s="42" t="s">
        <v>1679</v>
      </c>
      <c r="B1617">
        <f>IFERROR(FIND('Simulador IR 2025'!$I$29, A1617), 0)</f>
        <v>1</v>
      </c>
      <c r="C1617">
        <f>IF(B1617&gt;0, MAX($C$2:C1616)+1, "")</f>
        <v>1615</v>
      </c>
      <c r="D1617" t="str">
        <f t="shared" si="25"/>
        <v/>
      </c>
    </row>
    <row r="1618" spans="1:4">
      <c r="A1618" s="42" t="s">
        <v>1680</v>
      </c>
      <c r="B1618">
        <f>IFERROR(FIND('Simulador IR 2025'!$I$29, A1618), 0)</f>
        <v>1</v>
      </c>
      <c r="C1618">
        <f>IF(B1618&gt;0, MAX($C$2:C1617)+1, "")</f>
        <v>1616</v>
      </c>
      <c r="D1618" t="str">
        <f t="shared" si="25"/>
        <v/>
      </c>
    </row>
    <row r="1619" spans="1:4">
      <c r="A1619" s="42" t="s">
        <v>1681</v>
      </c>
      <c r="B1619">
        <f>IFERROR(FIND('Simulador IR 2025'!$I$29, A1619), 0)</f>
        <v>1</v>
      </c>
      <c r="C1619">
        <f>IF(B1619&gt;0, MAX($C$2:C1618)+1, "")</f>
        <v>1617</v>
      </c>
      <c r="D1619" t="str">
        <f t="shared" si="25"/>
        <v/>
      </c>
    </row>
    <row r="1620" spans="1:4">
      <c r="A1620" s="42" t="s">
        <v>1682</v>
      </c>
      <c r="B1620">
        <f>IFERROR(FIND('Simulador IR 2025'!$I$29, A1620), 0)</f>
        <v>1</v>
      </c>
      <c r="C1620">
        <f>IF(B1620&gt;0, MAX($C$2:C1619)+1, "")</f>
        <v>1618</v>
      </c>
      <c r="D1620" t="str">
        <f t="shared" si="25"/>
        <v/>
      </c>
    </row>
    <row r="1621" spans="1:4">
      <c r="A1621" s="42" t="s">
        <v>1683</v>
      </c>
      <c r="B1621">
        <f>IFERROR(FIND('Simulador IR 2025'!$I$29, A1621), 0)</f>
        <v>1</v>
      </c>
      <c r="C1621">
        <f>IF(B1621&gt;0, MAX($C$2:C1620)+1, "")</f>
        <v>1619</v>
      </c>
      <c r="D1621" t="str">
        <f t="shared" si="25"/>
        <v/>
      </c>
    </row>
    <row r="1622" spans="1:4">
      <c r="A1622" s="42" t="s">
        <v>1684</v>
      </c>
      <c r="B1622">
        <f>IFERROR(FIND('Simulador IR 2025'!$I$29, A1622), 0)</f>
        <v>1</v>
      </c>
      <c r="C1622">
        <f>IF(B1622&gt;0, MAX($C$2:C1621)+1, "")</f>
        <v>1620</v>
      </c>
      <c r="D1622" t="str">
        <f t="shared" si="25"/>
        <v/>
      </c>
    </row>
    <row r="1623" spans="1:4">
      <c r="A1623" s="42" t="s">
        <v>1685</v>
      </c>
      <c r="B1623">
        <f>IFERROR(FIND('Simulador IR 2025'!$I$29, A1623), 0)</f>
        <v>1</v>
      </c>
      <c r="C1623">
        <f>IF(B1623&gt;0, MAX($C$2:C1622)+1, "")</f>
        <v>1621</v>
      </c>
      <c r="D1623" t="str">
        <f t="shared" si="25"/>
        <v/>
      </c>
    </row>
    <row r="1624" spans="1:4">
      <c r="A1624" s="42" t="s">
        <v>1686</v>
      </c>
      <c r="B1624">
        <f>IFERROR(FIND('Simulador IR 2025'!$I$29, A1624), 0)</f>
        <v>1</v>
      </c>
      <c r="C1624">
        <f>IF(B1624&gt;0, MAX($C$2:C1623)+1, "")</f>
        <v>1622</v>
      </c>
      <c r="D1624" t="str">
        <f t="shared" si="25"/>
        <v/>
      </c>
    </row>
    <row r="1625" spans="1:4">
      <c r="A1625" s="42" t="s">
        <v>1687</v>
      </c>
      <c r="B1625">
        <f>IFERROR(FIND('Simulador IR 2025'!$I$29, A1625), 0)</f>
        <v>1</v>
      </c>
      <c r="C1625">
        <f>IF(B1625&gt;0, MAX($C$2:C1624)+1, "")</f>
        <v>1623</v>
      </c>
      <c r="D1625" t="str">
        <f t="shared" si="25"/>
        <v/>
      </c>
    </row>
    <row r="1626" spans="1:4">
      <c r="A1626" s="42" t="s">
        <v>1688</v>
      </c>
      <c r="B1626">
        <f>IFERROR(FIND('Simulador IR 2025'!$I$29, A1626), 0)</f>
        <v>1</v>
      </c>
      <c r="C1626">
        <f>IF(B1626&gt;0, MAX($C$2:C1625)+1, "")</f>
        <v>1624</v>
      </c>
      <c r="D1626" t="str">
        <f t="shared" si="25"/>
        <v/>
      </c>
    </row>
    <row r="1627" spans="1:4">
      <c r="A1627" s="42" t="s">
        <v>1689</v>
      </c>
      <c r="B1627">
        <f>IFERROR(FIND('Simulador IR 2025'!$I$29, A1627), 0)</f>
        <v>1</v>
      </c>
      <c r="C1627">
        <f>IF(B1627&gt;0, MAX($C$2:C1626)+1, "")</f>
        <v>1625</v>
      </c>
      <c r="D1627" t="str">
        <f t="shared" si="25"/>
        <v/>
      </c>
    </row>
    <row r="1628" spans="1:4">
      <c r="A1628" s="42" t="s">
        <v>1690</v>
      </c>
      <c r="B1628">
        <f>IFERROR(FIND('Simulador IR 2025'!$I$29, A1628), 0)</f>
        <v>1</v>
      </c>
      <c r="C1628">
        <f>IF(B1628&gt;0, MAX($C$2:C1627)+1, "")</f>
        <v>1626</v>
      </c>
      <c r="D1628" t="str">
        <f t="shared" si="25"/>
        <v/>
      </c>
    </row>
    <row r="1629" spans="1:4">
      <c r="A1629" s="42" t="s">
        <v>1691</v>
      </c>
      <c r="B1629">
        <f>IFERROR(FIND('Simulador IR 2025'!$I$29, A1629), 0)</f>
        <v>1</v>
      </c>
      <c r="C1629">
        <f>IF(B1629&gt;0, MAX($C$2:C1628)+1, "")</f>
        <v>1627</v>
      </c>
      <c r="D1629" t="str">
        <f t="shared" si="25"/>
        <v/>
      </c>
    </row>
    <row r="1630" spans="1:4">
      <c r="A1630" s="42" t="s">
        <v>1692</v>
      </c>
      <c r="B1630">
        <f>IFERROR(FIND('Simulador IR 2025'!$I$29, A1630), 0)</f>
        <v>1</v>
      </c>
      <c r="C1630">
        <f>IF(B1630&gt;0, MAX($C$2:C1629)+1, "")</f>
        <v>1628</v>
      </c>
      <c r="D1630" t="str">
        <f t="shared" si="25"/>
        <v/>
      </c>
    </row>
    <row r="1631" spans="1:4">
      <c r="A1631" s="42" t="s">
        <v>1693</v>
      </c>
      <c r="B1631">
        <f>IFERROR(FIND('Simulador IR 2025'!$I$29, A1631), 0)</f>
        <v>1</v>
      </c>
      <c r="C1631">
        <f>IF(B1631&gt;0, MAX($C$2:C1630)+1, "")</f>
        <v>1629</v>
      </c>
      <c r="D1631" t="str">
        <f t="shared" si="25"/>
        <v/>
      </c>
    </row>
    <row r="1632" spans="1:4">
      <c r="A1632" s="42" t="s">
        <v>1694</v>
      </c>
      <c r="B1632">
        <f>IFERROR(FIND('Simulador IR 2025'!$I$29, A1632), 0)</f>
        <v>1</v>
      </c>
      <c r="C1632">
        <f>IF(B1632&gt;0, MAX($C$2:C1631)+1, "")</f>
        <v>1630</v>
      </c>
      <c r="D1632" t="str">
        <f t="shared" si="25"/>
        <v/>
      </c>
    </row>
    <row r="1633" spans="1:4">
      <c r="A1633" s="42" t="s">
        <v>1695</v>
      </c>
      <c r="B1633">
        <f>IFERROR(FIND('Simulador IR 2025'!$I$29, A1633), 0)</f>
        <v>1</v>
      </c>
      <c r="C1633">
        <f>IF(B1633&gt;0, MAX($C$2:C1632)+1, "")</f>
        <v>1631</v>
      </c>
      <c r="D1633" t="str">
        <f t="shared" si="25"/>
        <v/>
      </c>
    </row>
    <row r="1634" spans="1:4">
      <c r="A1634" s="42" t="s">
        <v>1696</v>
      </c>
      <c r="B1634">
        <f>IFERROR(FIND('Simulador IR 2025'!$I$29, A1634), 0)</f>
        <v>1</v>
      </c>
      <c r="C1634">
        <f>IF(B1634&gt;0, MAX($C$2:C1633)+1, "")</f>
        <v>1632</v>
      </c>
      <c r="D1634" t="str">
        <f t="shared" si="25"/>
        <v/>
      </c>
    </row>
    <row r="1635" spans="1:4">
      <c r="A1635" s="42" t="s">
        <v>1697</v>
      </c>
      <c r="B1635">
        <f>IFERROR(FIND('Simulador IR 2025'!$I$29, A1635), 0)</f>
        <v>1</v>
      </c>
      <c r="C1635">
        <f>IF(B1635&gt;0, MAX($C$2:C1634)+1, "")</f>
        <v>1633</v>
      </c>
      <c r="D1635" t="str">
        <f t="shared" si="25"/>
        <v/>
      </c>
    </row>
    <row r="1636" spans="1:4">
      <c r="A1636" s="42" t="s">
        <v>1698</v>
      </c>
      <c r="B1636">
        <f>IFERROR(FIND('Simulador IR 2025'!$I$29, A1636), 0)</f>
        <v>1</v>
      </c>
      <c r="C1636">
        <f>IF(B1636&gt;0, MAX($C$2:C1635)+1, "")</f>
        <v>1634</v>
      </c>
      <c r="D1636" t="str">
        <f t="shared" si="25"/>
        <v/>
      </c>
    </row>
    <row r="1637" spans="1:4">
      <c r="A1637" s="42" t="s">
        <v>1699</v>
      </c>
      <c r="B1637">
        <f>IFERROR(FIND('Simulador IR 2025'!$I$29, A1637), 0)</f>
        <v>1</v>
      </c>
      <c r="C1637">
        <f>IF(B1637&gt;0, MAX($C$2:C1636)+1, "")</f>
        <v>1635</v>
      </c>
      <c r="D1637" t="str">
        <f t="shared" si="25"/>
        <v/>
      </c>
    </row>
    <row r="1638" spans="1:4">
      <c r="A1638" s="42" t="s">
        <v>1700</v>
      </c>
      <c r="B1638">
        <f>IFERROR(FIND('Simulador IR 2025'!$I$29, A1638), 0)</f>
        <v>1</v>
      </c>
      <c r="C1638">
        <f>IF(B1638&gt;0, MAX($C$2:C1637)+1, "")</f>
        <v>1636</v>
      </c>
      <c r="D1638" t="str">
        <f t="shared" si="25"/>
        <v/>
      </c>
    </row>
    <row r="1639" spans="1:4">
      <c r="A1639" s="42" t="s">
        <v>1701</v>
      </c>
      <c r="B1639">
        <f>IFERROR(FIND('Simulador IR 2025'!$I$29, A1639), 0)</f>
        <v>1</v>
      </c>
      <c r="C1639">
        <f>IF(B1639&gt;0, MAX($C$2:C1638)+1, "")</f>
        <v>1637</v>
      </c>
      <c r="D1639" t="str">
        <f t="shared" si="25"/>
        <v/>
      </c>
    </row>
    <row r="1640" spans="1:4">
      <c r="A1640" s="42" t="s">
        <v>1702</v>
      </c>
      <c r="B1640">
        <f>IFERROR(FIND('Simulador IR 2025'!$I$29, A1640), 0)</f>
        <v>1</v>
      </c>
      <c r="C1640">
        <f>IF(B1640&gt;0, MAX($C$2:C1639)+1, "")</f>
        <v>1638</v>
      </c>
      <c r="D1640" t="str">
        <f t="shared" si="25"/>
        <v/>
      </c>
    </row>
    <row r="1641" spans="1:4">
      <c r="A1641" s="42" t="s">
        <v>1703</v>
      </c>
      <c r="B1641">
        <f>IFERROR(FIND('Simulador IR 2025'!$I$29, A1641), 0)</f>
        <v>1</v>
      </c>
      <c r="C1641">
        <f>IF(B1641&gt;0, MAX($C$2:C1640)+1, "")</f>
        <v>1639</v>
      </c>
      <c r="D1641" t="str">
        <f t="shared" si="25"/>
        <v/>
      </c>
    </row>
    <row r="1642" spans="1:4">
      <c r="A1642" s="42" t="s">
        <v>1704</v>
      </c>
      <c r="B1642">
        <f>IFERROR(FIND('Simulador IR 2025'!$I$29, A1642), 0)</f>
        <v>1</v>
      </c>
      <c r="C1642">
        <f>IF(B1642&gt;0, MAX($C$2:C1641)+1, "")</f>
        <v>1640</v>
      </c>
      <c r="D1642" t="str">
        <f t="shared" si="25"/>
        <v/>
      </c>
    </row>
    <row r="1643" spans="1:4">
      <c r="A1643" s="42" t="s">
        <v>1705</v>
      </c>
      <c r="B1643">
        <f>IFERROR(FIND('Simulador IR 2025'!$I$29, A1643), 0)</f>
        <v>1</v>
      </c>
      <c r="C1643">
        <f>IF(B1643&gt;0, MAX($C$2:C1642)+1, "")</f>
        <v>1641</v>
      </c>
      <c r="D1643" t="str">
        <f t="shared" si="25"/>
        <v/>
      </c>
    </row>
    <row r="1644" spans="1:4">
      <c r="A1644" s="42" t="s">
        <v>1706</v>
      </c>
      <c r="B1644">
        <f>IFERROR(FIND('Simulador IR 2025'!$I$29, A1644), 0)</f>
        <v>1</v>
      </c>
      <c r="C1644">
        <f>IF(B1644&gt;0, MAX($C$2:C1643)+1, "")</f>
        <v>1642</v>
      </c>
      <c r="D1644" t="str">
        <f t="shared" si="25"/>
        <v/>
      </c>
    </row>
    <row r="1645" spans="1:4">
      <c r="A1645" s="42" t="s">
        <v>1707</v>
      </c>
      <c r="B1645">
        <f>IFERROR(FIND('Simulador IR 2025'!$I$29, A1645), 0)</f>
        <v>1</v>
      </c>
      <c r="C1645">
        <f>IF(B1645&gt;0, MAX($C$2:C1644)+1, "")</f>
        <v>1643</v>
      </c>
      <c r="D1645" t="str">
        <f t="shared" si="25"/>
        <v/>
      </c>
    </row>
    <row r="1646" spans="1:4">
      <c r="A1646" s="42" t="s">
        <v>1708</v>
      </c>
      <c r="B1646">
        <f>IFERROR(FIND('Simulador IR 2025'!$I$29, A1646), 0)</f>
        <v>1</v>
      </c>
      <c r="C1646">
        <f>IF(B1646&gt;0, MAX($C$2:C1645)+1, "")</f>
        <v>1644</v>
      </c>
      <c r="D1646" t="str">
        <f t="shared" si="25"/>
        <v/>
      </c>
    </row>
    <row r="1647" spans="1:4">
      <c r="A1647" s="42" t="s">
        <v>1709</v>
      </c>
      <c r="B1647">
        <f>IFERROR(FIND('Simulador IR 2025'!$I$29, A1647), 0)</f>
        <v>1</v>
      </c>
      <c r="C1647">
        <f>IF(B1647&gt;0, MAX($C$2:C1646)+1, "")</f>
        <v>1645</v>
      </c>
      <c r="D1647" t="str">
        <f t="shared" si="25"/>
        <v/>
      </c>
    </row>
    <row r="1648" spans="1:4">
      <c r="A1648" s="42" t="s">
        <v>1710</v>
      </c>
      <c r="B1648">
        <f>IFERROR(FIND('Simulador IR 2025'!$I$29, A1648), 0)</f>
        <v>1</v>
      </c>
      <c r="C1648">
        <f>IF(B1648&gt;0, MAX($C$2:C1647)+1, "")</f>
        <v>1646</v>
      </c>
      <c r="D1648" t="str">
        <f t="shared" si="25"/>
        <v/>
      </c>
    </row>
    <row r="1649" spans="1:4">
      <c r="A1649" s="42" t="s">
        <v>1711</v>
      </c>
      <c r="B1649">
        <f>IFERROR(FIND('Simulador IR 2025'!$I$29, A1649), 0)</f>
        <v>1</v>
      </c>
      <c r="C1649">
        <f>IF(B1649&gt;0, MAX($C$2:C1648)+1, "")</f>
        <v>1647</v>
      </c>
      <c r="D1649" t="str">
        <f t="shared" si="25"/>
        <v/>
      </c>
    </row>
    <row r="1650" spans="1:4">
      <c r="A1650" s="42" t="s">
        <v>1712</v>
      </c>
      <c r="B1650">
        <f>IFERROR(FIND('Simulador IR 2025'!$I$29, A1650), 0)</f>
        <v>1</v>
      </c>
      <c r="C1650">
        <f>IF(B1650&gt;0, MAX($C$2:C1649)+1, "")</f>
        <v>1648</v>
      </c>
      <c r="D1650" t="str">
        <f t="shared" si="25"/>
        <v/>
      </c>
    </row>
    <row r="1651" spans="1:4">
      <c r="A1651" s="42" t="s">
        <v>1713</v>
      </c>
      <c r="B1651">
        <f>IFERROR(FIND('Simulador IR 2025'!$I$29, A1651), 0)</f>
        <v>1</v>
      </c>
      <c r="C1651">
        <f>IF(B1651&gt;0, MAX($C$2:C1650)+1, "")</f>
        <v>1649</v>
      </c>
      <c r="D1651" t="str">
        <f t="shared" si="25"/>
        <v/>
      </c>
    </row>
    <row r="1652" spans="1:4">
      <c r="A1652" s="42" t="s">
        <v>1714</v>
      </c>
      <c r="B1652">
        <f>IFERROR(FIND('Simulador IR 2025'!$I$29, A1652), 0)</f>
        <v>1</v>
      </c>
      <c r="C1652">
        <f>IF(B1652&gt;0, MAX($C$2:C1651)+1, "")</f>
        <v>1650</v>
      </c>
      <c r="D1652" t="str">
        <f t="shared" si="25"/>
        <v/>
      </c>
    </row>
    <row r="1653" spans="1:4">
      <c r="A1653" s="42" t="s">
        <v>1715</v>
      </c>
      <c r="B1653">
        <f>IFERROR(FIND('Simulador IR 2025'!$I$29, A1653), 0)</f>
        <v>1</v>
      </c>
      <c r="C1653">
        <f>IF(B1653&gt;0, MAX($C$2:C1652)+1, "")</f>
        <v>1651</v>
      </c>
      <c r="D1653" t="str">
        <f t="shared" si="25"/>
        <v/>
      </c>
    </row>
    <row r="1654" spans="1:4">
      <c r="A1654" s="42" t="s">
        <v>1716</v>
      </c>
      <c r="B1654">
        <f>IFERROR(FIND('Simulador IR 2025'!$I$29, A1654), 0)</f>
        <v>1</v>
      </c>
      <c r="C1654">
        <f>IF(B1654&gt;0, MAX($C$2:C1653)+1, "")</f>
        <v>1652</v>
      </c>
      <c r="D1654" t="str">
        <f t="shared" si="25"/>
        <v/>
      </c>
    </row>
    <row r="1655" spans="1:4">
      <c r="A1655" s="42" t="s">
        <v>1717</v>
      </c>
      <c r="B1655">
        <f>IFERROR(FIND('Simulador IR 2025'!$I$29, A1655), 0)</f>
        <v>1</v>
      </c>
      <c r="C1655">
        <f>IF(B1655&gt;0, MAX($C$2:C1654)+1, "")</f>
        <v>1653</v>
      </c>
      <c r="D1655" t="str">
        <f t="shared" si="25"/>
        <v/>
      </c>
    </row>
    <row r="1656" spans="1:4">
      <c r="A1656" s="42" t="s">
        <v>1718</v>
      </c>
      <c r="B1656">
        <f>IFERROR(FIND('Simulador IR 2025'!$I$29, A1656), 0)</f>
        <v>1</v>
      </c>
      <c r="C1656">
        <f>IF(B1656&gt;0, MAX($C$2:C1655)+1, "")</f>
        <v>1654</v>
      </c>
      <c r="D1656" t="str">
        <f t="shared" si="25"/>
        <v/>
      </c>
    </row>
    <row r="1657" spans="1:4">
      <c r="A1657" s="42" t="s">
        <v>1719</v>
      </c>
      <c r="B1657">
        <f>IFERROR(FIND('Simulador IR 2025'!$I$29, A1657), 0)</f>
        <v>1</v>
      </c>
      <c r="C1657">
        <f>IF(B1657&gt;0, MAX($C$2:C1656)+1, "")</f>
        <v>1655</v>
      </c>
      <c r="D1657" t="str">
        <f t="shared" si="25"/>
        <v/>
      </c>
    </row>
    <row r="1658" spans="1:4">
      <c r="A1658" s="42" t="s">
        <v>1720</v>
      </c>
      <c r="B1658">
        <f>IFERROR(FIND('Simulador IR 2025'!$I$29, A1658), 0)</f>
        <v>1</v>
      </c>
      <c r="C1658">
        <f>IF(B1658&gt;0, MAX($C$2:C1657)+1, "")</f>
        <v>1656</v>
      </c>
      <c r="D1658" t="str">
        <f t="shared" si="25"/>
        <v/>
      </c>
    </row>
    <row r="1659" spans="1:4">
      <c r="A1659" s="42" t="s">
        <v>1721</v>
      </c>
      <c r="B1659">
        <f>IFERROR(FIND('Simulador IR 2025'!$I$29, A1659), 0)</f>
        <v>1</v>
      </c>
      <c r="C1659">
        <f>IF(B1659&gt;0, MAX($C$2:C1658)+1, "")</f>
        <v>1657</v>
      </c>
      <c r="D1659" t="str">
        <f t="shared" si="25"/>
        <v/>
      </c>
    </row>
    <row r="1660" spans="1:4">
      <c r="A1660" s="42" t="s">
        <v>1722</v>
      </c>
      <c r="B1660">
        <f>IFERROR(FIND('Simulador IR 2025'!$I$29, A1660), 0)</f>
        <v>1</v>
      </c>
      <c r="C1660">
        <f>IF(B1660&gt;0, MAX($C$2:C1659)+1, "")</f>
        <v>1658</v>
      </c>
      <c r="D1660" t="str">
        <f t="shared" si="25"/>
        <v/>
      </c>
    </row>
    <row r="1661" spans="1:4">
      <c r="A1661" s="42" t="s">
        <v>1723</v>
      </c>
      <c r="B1661">
        <f>IFERROR(FIND('Simulador IR 2025'!$I$29, A1661), 0)</f>
        <v>1</v>
      </c>
      <c r="C1661">
        <f>IF(B1661&gt;0, MAX($C$2:C1660)+1, "")</f>
        <v>1659</v>
      </c>
      <c r="D1661" t="str">
        <f t="shared" si="25"/>
        <v/>
      </c>
    </row>
    <row r="1662" spans="1:4">
      <c r="A1662" s="42" t="s">
        <v>1724</v>
      </c>
      <c r="B1662">
        <f>IFERROR(FIND('Simulador IR 2025'!$I$29, A1662), 0)</f>
        <v>1</v>
      </c>
      <c r="C1662">
        <f>IF(B1662&gt;0, MAX($C$2:C1661)+1, "")</f>
        <v>1660</v>
      </c>
      <c r="D1662" t="str">
        <f t="shared" si="25"/>
        <v/>
      </c>
    </row>
    <row r="1663" spans="1:4">
      <c r="A1663" s="42" t="s">
        <v>1725</v>
      </c>
      <c r="B1663">
        <f>IFERROR(FIND('Simulador IR 2025'!$I$29, A1663), 0)</f>
        <v>1</v>
      </c>
      <c r="C1663">
        <f>IF(B1663&gt;0, MAX($C$2:C1662)+1, "")</f>
        <v>1661</v>
      </c>
      <c r="D1663" t="str">
        <f t="shared" si="25"/>
        <v/>
      </c>
    </row>
    <row r="1664" spans="1:4">
      <c r="A1664" s="42" t="s">
        <v>1726</v>
      </c>
      <c r="B1664">
        <f>IFERROR(FIND('Simulador IR 2025'!$I$29, A1664), 0)</f>
        <v>1</v>
      </c>
      <c r="C1664">
        <f>IF(B1664&gt;0, MAX($C$2:C1663)+1, "")</f>
        <v>1662</v>
      </c>
      <c r="D1664" t="str">
        <f t="shared" si="25"/>
        <v/>
      </c>
    </row>
    <row r="1665" spans="1:4">
      <c r="A1665" s="42" t="s">
        <v>1727</v>
      </c>
      <c r="B1665">
        <f>IFERROR(FIND('Simulador IR 2025'!$I$29, A1665), 0)</f>
        <v>1</v>
      </c>
      <c r="C1665">
        <f>IF(B1665&gt;0, MAX($C$2:C1664)+1, "")</f>
        <v>1663</v>
      </c>
      <c r="D1665" t="str">
        <f t="shared" si="25"/>
        <v/>
      </c>
    </row>
    <row r="1666" spans="1:4">
      <c r="A1666" s="42" t="s">
        <v>1728</v>
      </c>
      <c r="B1666">
        <f>IFERROR(FIND('Simulador IR 2025'!$I$29, A1666), 0)</f>
        <v>1</v>
      </c>
      <c r="C1666">
        <f>IF(B1666&gt;0, MAX($C$2:C1665)+1, "")</f>
        <v>1664</v>
      </c>
      <c r="D1666" t="str">
        <f t="shared" si="25"/>
        <v/>
      </c>
    </row>
    <row r="1667" spans="1:4">
      <c r="A1667" s="42" t="s">
        <v>1729</v>
      </c>
      <c r="B1667">
        <f>IFERROR(FIND('Simulador IR 2025'!$I$29, A1667), 0)</f>
        <v>1</v>
      </c>
      <c r="C1667">
        <f>IF(B1667&gt;0, MAX($C$2:C1666)+1, "")</f>
        <v>1665</v>
      </c>
      <c r="D1667" t="str">
        <f t="shared" si="25"/>
        <v/>
      </c>
    </row>
    <row r="1668" spans="1:4">
      <c r="A1668" s="42" t="s">
        <v>1730</v>
      </c>
      <c r="B1668">
        <f>IFERROR(FIND('Simulador IR 2025'!$I$29, A1668), 0)</f>
        <v>1</v>
      </c>
      <c r="C1668">
        <f>IF(B1668&gt;0, MAX($C$2:C1667)+1, "")</f>
        <v>1666</v>
      </c>
      <c r="D1668" t="str">
        <f t="shared" ref="D1668:D1731" si="26">IFERROR(VLOOKUP(ROW(A1666), $A$3:$C$2681, -2, FALSE), "")</f>
        <v/>
      </c>
    </row>
    <row r="1669" spans="1:4">
      <c r="A1669" s="42" t="s">
        <v>1731</v>
      </c>
      <c r="B1669">
        <f>IFERROR(FIND('Simulador IR 2025'!$I$29, A1669), 0)</f>
        <v>1</v>
      </c>
      <c r="C1669">
        <f>IF(B1669&gt;0, MAX($C$2:C1668)+1, "")</f>
        <v>1667</v>
      </c>
      <c r="D1669" t="str">
        <f t="shared" si="26"/>
        <v/>
      </c>
    </row>
    <row r="1670" spans="1:4">
      <c r="A1670" s="42" t="s">
        <v>1732</v>
      </c>
      <c r="B1670">
        <f>IFERROR(FIND('Simulador IR 2025'!$I$29, A1670), 0)</f>
        <v>1</v>
      </c>
      <c r="C1670">
        <f>IF(B1670&gt;0, MAX($C$2:C1669)+1, "")</f>
        <v>1668</v>
      </c>
      <c r="D1670" t="str">
        <f t="shared" si="26"/>
        <v/>
      </c>
    </row>
    <row r="1671" spans="1:4">
      <c r="A1671" s="42" t="s">
        <v>1733</v>
      </c>
      <c r="B1671">
        <f>IFERROR(FIND('Simulador IR 2025'!$I$29, A1671), 0)</f>
        <v>1</v>
      </c>
      <c r="C1671">
        <f>IF(B1671&gt;0, MAX($C$2:C1670)+1, "")</f>
        <v>1669</v>
      </c>
      <c r="D1671" t="str">
        <f t="shared" si="26"/>
        <v/>
      </c>
    </row>
    <row r="1672" spans="1:4">
      <c r="A1672" s="42" t="s">
        <v>1734</v>
      </c>
      <c r="B1672">
        <f>IFERROR(FIND('Simulador IR 2025'!$I$29, A1672), 0)</f>
        <v>1</v>
      </c>
      <c r="C1672">
        <f>IF(B1672&gt;0, MAX($C$2:C1671)+1, "")</f>
        <v>1670</v>
      </c>
      <c r="D1672" t="str">
        <f t="shared" si="26"/>
        <v/>
      </c>
    </row>
    <row r="1673" spans="1:4">
      <c r="A1673" s="42" t="s">
        <v>1735</v>
      </c>
      <c r="B1673">
        <f>IFERROR(FIND('Simulador IR 2025'!$I$29, A1673), 0)</f>
        <v>1</v>
      </c>
      <c r="C1673">
        <f>IF(B1673&gt;0, MAX($C$2:C1672)+1, "")</f>
        <v>1671</v>
      </c>
      <c r="D1673" t="str">
        <f t="shared" si="26"/>
        <v/>
      </c>
    </row>
    <row r="1674" spans="1:4">
      <c r="A1674" s="42" t="s">
        <v>1736</v>
      </c>
      <c r="B1674">
        <f>IFERROR(FIND('Simulador IR 2025'!$I$29, A1674), 0)</f>
        <v>1</v>
      </c>
      <c r="C1674">
        <f>IF(B1674&gt;0, MAX($C$2:C1673)+1, "")</f>
        <v>1672</v>
      </c>
      <c r="D1674" t="str">
        <f t="shared" si="26"/>
        <v/>
      </c>
    </row>
    <row r="1675" spans="1:4">
      <c r="A1675" s="42" t="s">
        <v>1737</v>
      </c>
      <c r="B1675">
        <f>IFERROR(FIND('Simulador IR 2025'!$I$29, A1675), 0)</f>
        <v>1</v>
      </c>
      <c r="C1675">
        <f>IF(B1675&gt;0, MAX($C$2:C1674)+1, "")</f>
        <v>1673</v>
      </c>
      <c r="D1675" t="str">
        <f t="shared" si="26"/>
        <v/>
      </c>
    </row>
    <row r="1676" spans="1:4">
      <c r="A1676" s="42" t="s">
        <v>1738</v>
      </c>
      <c r="B1676">
        <f>IFERROR(FIND('Simulador IR 2025'!$I$29, A1676), 0)</f>
        <v>1</v>
      </c>
      <c r="C1676">
        <f>IF(B1676&gt;0, MAX($C$2:C1675)+1, "")</f>
        <v>1674</v>
      </c>
      <c r="D1676" t="str">
        <f t="shared" si="26"/>
        <v/>
      </c>
    </row>
    <row r="1677" spans="1:4">
      <c r="A1677" s="42" t="s">
        <v>1739</v>
      </c>
      <c r="B1677">
        <f>IFERROR(FIND('Simulador IR 2025'!$I$29, A1677), 0)</f>
        <v>1</v>
      </c>
      <c r="C1677">
        <f>IF(B1677&gt;0, MAX($C$2:C1676)+1, "")</f>
        <v>1675</v>
      </c>
      <c r="D1677" t="str">
        <f t="shared" si="26"/>
        <v/>
      </c>
    </row>
    <row r="1678" spans="1:4">
      <c r="A1678" s="42" t="s">
        <v>1740</v>
      </c>
      <c r="B1678">
        <f>IFERROR(FIND('Simulador IR 2025'!$I$29, A1678), 0)</f>
        <v>1</v>
      </c>
      <c r="C1678">
        <f>IF(B1678&gt;0, MAX($C$2:C1677)+1, "")</f>
        <v>1676</v>
      </c>
      <c r="D1678" t="str">
        <f t="shared" si="26"/>
        <v/>
      </c>
    </row>
    <row r="1679" spans="1:4">
      <c r="A1679" s="42" t="s">
        <v>1741</v>
      </c>
      <c r="B1679">
        <f>IFERROR(FIND('Simulador IR 2025'!$I$29, A1679), 0)</f>
        <v>1</v>
      </c>
      <c r="C1679">
        <f>IF(B1679&gt;0, MAX($C$2:C1678)+1, "")</f>
        <v>1677</v>
      </c>
      <c r="D1679" t="str">
        <f t="shared" si="26"/>
        <v/>
      </c>
    </row>
    <row r="1680" spans="1:4">
      <c r="A1680" s="42" t="s">
        <v>1742</v>
      </c>
      <c r="B1680">
        <f>IFERROR(FIND('Simulador IR 2025'!$I$29, A1680), 0)</f>
        <v>1</v>
      </c>
      <c r="C1680">
        <f>IF(B1680&gt;0, MAX($C$2:C1679)+1, "")</f>
        <v>1678</v>
      </c>
      <c r="D1680" t="str">
        <f t="shared" si="26"/>
        <v/>
      </c>
    </row>
    <row r="1681" spans="1:4">
      <c r="A1681" s="42" t="s">
        <v>1743</v>
      </c>
      <c r="B1681">
        <f>IFERROR(FIND('Simulador IR 2025'!$I$29, A1681), 0)</f>
        <v>1</v>
      </c>
      <c r="C1681">
        <f>IF(B1681&gt;0, MAX($C$2:C1680)+1, "")</f>
        <v>1679</v>
      </c>
      <c r="D1681" t="str">
        <f t="shared" si="26"/>
        <v/>
      </c>
    </row>
    <row r="1682" spans="1:4">
      <c r="A1682" s="42" t="s">
        <v>1744</v>
      </c>
      <c r="B1682">
        <f>IFERROR(FIND('Simulador IR 2025'!$I$29, A1682), 0)</f>
        <v>1</v>
      </c>
      <c r="C1682">
        <f>IF(B1682&gt;0, MAX($C$2:C1681)+1, "")</f>
        <v>1680</v>
      </c>
      <c r="D1682" t="str">
        <f t="shared" si="26"/>
        <v/>
      </c>
    </row>
    <row r="1683" spans="1:4">
      <c r="A1683" s="42" t="s">
        <v>1745</v>
      </c>
      <c r="B1683">
        <f>IFERROR(FIND('Simulador IR 2025'!$I$29, A1683), 0)</f>
        <v>1</v>
      </c>
      <c r="C1683">
        <f>IF(B1683&gt;0, MAX($C$2:C1682)+1, "")</f>
        <v>1681</v>
      </c>
      <c r="D1683" t="str">
        <f t="shared" si="26"/>
        <v/>
      </c>
    </row>
    <row r="1684" spans="1:4">
      <c r="A1684" s="42" t="s">
        <v>1746</v>
      </c>
      <c r="B1684">
        <f>IFERROR(FIND('Simulador IR 2025'!$I$29, A1684), 0)</f>
        <v>1</v>
      </c>
      <c r="C1684">
        <f>IF(B1684&gt;0, MAX($C$2:C1683)+1, "")</f>
        <v>1682</v>
      </c>
      <c r="D1684" t="str">
        <f t="shared" si="26"/>
        <v/>
      </c>
    </row>
    <row r="1685" spans="1:4">
      <c r="A1685" s="42" t="s">
        <v>1747</v>
      </c>
      <c r="B1685">
        <f>IFERROR(FIND('Simulador IR 2025'!$I$29, A1685), 0)</f>
        <v>1</v>
      </c>
      <c r="C1685">
        <f>IF(B1685&gt;0, MAX($C$2:C1684)+1, "")</f>
        <v>1683</v>
      </c>
      <c r="D1685" t="str">
        <f t="shared" si="26"/>
        <v/>
      </c>
    </row>
    <row r="1686" spans="1:4">
      <c r="A1686" s="42" t="s">
        <v>1748</v>
      </c>
      <c r="B1686">
        <f>IFERROR(FIND('Simulador IR 2025'!$I$29, A1686), 0)</f>
        <v>1</v>
      </c>
      <c r="C1686">
        <f>IF(B1686&gt;0, MAX($C$2:C1685)+1, "")</f>
        <v>1684</v>
      </c>
      <c r="D1686" t="str">
        <f t="shared" si="26"/>
        <v/>
      </c>
    </row>
    <row r="1687" spans="1:4">
      <c r="A1687" s="42" t="s">
        <v>1749</v>
      </c>
      <c r="B1687">
        <f>IFERROR(FIND('Simulador IR 2025'!$I$29, A1687), 0)</f>
        <v>1</v>
      </c>
      <c r="C1687">
        <f>IF(B1687&gt;0, MAX($C$2:C1686)+1, "")</f>
        <v>1685</v>
      </c>
      <c r="D1687" t="str">
        <f t="shared" si="26"/>
        <v/>
      </c>
    </row>
    <row r="1688" spans="1:4">
      <c r="A1688" s="42" t="s">
        <v>1750</v>
      </c>
      <c r="B1688">
        <f>IFERROR(FIND('Simulador IR 2025'!$I$29, A1688), 0)</f>
        <v>1</v>
      </c>
      <c r="C1688">
        <f>IF(B1688&gt;0, MAX($C$2:C1687)+1, "")</f>
        <v>1686</v>
      </c>
      <c r="D1688" t="str">
        <f t="shared" si="26"/>
        <v/>
      </c>
    </row>
    <row r="1689" spans="1:4">
      <c r="A1689" s="42" t="s">
        <v>1751</v>
      </c>
      <c r="B1689">
        <f>IFERROR(FIND('Simulador IR 2025'!$I$29, A1689), 0)</f>
        <v>1</v>
      </c>
      <c r="C1689">
        <f>IF(B1689&gt;0, MAX($C$2:C1688)+1, "")</f>
        <v>1687</v>
      </c>
      <c r="D1689" t="str">
        <f t="shared" si="26"/>
        <v/>
      </c>
    </row>
    <row r="1690" spans="1:4">
      <c r="A1690" s="42" t="s">
        <v>1752</v>
      </c>
      <c r="B1690">
        <f>IFERROR(FIND('Simulador IR 2025'!$I$29, A1690), 0)</f>
        <v>1</v>
      </c>
      <c r="C1690">
        <f>IF(B1690&gt;0, MAX($C$2:C1689)+1, "")</f>
        <v>1688</v>
      </c>
      <c r="D1690" t="str">
        <f t="shared" si="26"/>
        <v/>
      </c>
    </row>
    <row r="1691" spans="1:4">
      <c r="A1691" s="42" t="s">
        <v>1753</v>
      </c>
      <c r="B1691">
        <f>IFERROR(FIND('Simulador IR 2025'!$I$29, A1691), 0)</f>
        <v>1</v>
      </c>
      <c r="C1691">
        <f>IF(B1691&gt;0, MAX($C$2:C1690)+1, "")</f>
        <v>1689</v>
      </c>
      <c r="D1691" t="str">
        <f t="shared" si="26"/>
        <v/>
      </c>
    </row>
    <row r="1692" spans="1:4">
      <c r="A1692" s="42" t="s">
        <v>1754</v>
      </c>
      <c r="B1692">
        <f>IFERROR(FIND('Simulador IR 2025'!$I$29, A1692), 0)</f>
        <v>1</v>
      </c>
      <c r="C1692">
        <f>IF(B1692&gt;0, MAX($C$2:C1691)+1, "")</f>
        <v>1690</v>
      </c>
      <c r="D1692" t="str">
        <f t="shared" si="26"/>
        <v/>
      </c>
    </row>
    <row r="1693" spans="1:4">
      <c r="A1693" s="42" t="s">
        <v>1755</v>
      </c>
      <c r="B1693">
        <f>IFERROR(FIND('Simulador IR 2025'!$I$29, A1693), 0)</f>
        <v>1</v>
      </c>
      <c r="C1693">
        <f>IF(B1693&gt;0, MAX($C$2:C1692)+1, "")</f>
        <v>1691</v>
      </c>
      <c r="D1693" t="str">
        <f t="shared" si="26"/>
        <v/>
      </c>
    </row>
    <row r="1694" spans="1:4">
      <c r="A1694" s="42" t="s">
        <v>1756</v>
      </c>
      <c r="B1694">
        <f>IFERROR(FIND('Simulador IR 2025'!$I$29, A1694), 0)</f>
        <v>1</v>
      </c>
      <c r="C1694">
        <f>IF(B1694&gt;0, MAX($C$2:C1693)+1, "")</f>
        <v>1692</v>
      </c>
      <c r="D1694" t="str">
        <f t="shared" si="26"/>
        <v/>
      </c>
    </row>
    <row r="1695" spans="1:4">
      <c r="A1695" s="42" t="s">
        <v>1757</v>
      </c>
      <c r="B1695">
        <f>IFERROR(FIND('Simulador IR 2025'!$I$29, A1695), 0)</f>
        <v>1</v>
      </c>
      <c r="C1695">
        <f>IF(B1695&gt;0, MAX($C$2:C1694)+1, "")</f>
        <v>1693</v>
      </c>
      <c r="D1695" t="str">
        <f t="shared" si="26"/>
        <v/>
      </c>
    </row>
    <row r="1696" spans="1:4">
      <c r="A1696" s="42" t="s">
        <v>1758</v>
      </c>
      <c r="B1696">
        <f>IFERROR(FIND('Simulador IR 2025'!$I$29, A1696), 0)</f>
        <v>1</v>
      </c>
      <c r="C1696">
        <f>IF(B1696&gt;0, MAX($C$2:C1695)+1, "")</f>
        <v>1694</v>
      </c>
      <c r="D1696" t="str">
        <f t="shared" si="26"/>
        <v/>
      </c>
    </row>
    <row r="1697" spans="1:4">
      <c r="A1697" s="42" t="s">
        <v>1759</v>
      </c>
      <c r="B1697">
        <f>IFERROR(FIND('Simulador IR 2025'!$I$29, A1697), 0)</f>
        <v>1</v>
      </c>
      <c r="C1697">
        <f>IF(B1697&gt;0, MAX($C$2:C1696)+1, "")</f>
        <v>1695</v>
      </c>
      <c r="D1697" t="str">
        <f t="shared" si="26"/>
        <v/>
      </c>
    </row>
    <row r="1698" spans="1:4">
      <c r="A1698" s="42" t="s">
        <v>1760</v>
      </c>
      <c r="B1698">
        <f>IFERROR(FIND('Simulador IR 2025'!$I$29, A1698), 0)</f>
        <v>1</v>
      </c>
      <c r="C1698">
        <f>IF(B1698&gt;0, MAX($C$2:C1697)+1, "")</f>
        <v>1696</v>
      </c>
      <c r="D1698" t="str">
        <f t="shared" si="26"/>
        <v/>
      </c>
    </row>
    <row r="1699" spans="1:4">
      <c r="A1699" s="42" t="s">
        <v>1761</v>
      </c>
      <c r="B1699">
        <f>IFERROR(FIND('Simulador IR 2025'!$I$29, A1699), 0)</f>
        <v>1</v>
      </c>
      <c r="C1699">
        <f>IF(B1699&gt;0, MAX($C$2:C1698)+1, "")</f>
        <v>1697</v>
      </c>
      <c r="D1699" t="str">
        <f t="shared" si="26"/>
        <v/>
      </c>
    </row>
    <row r="1700" spans="1:4">
      <c r="A1700" s="42" t="s">
        <v>1762</v>
      </c>
      <c r="B1700">
        <f>IFERROR(FIND('Simulador IR 2025'!$I$29, A1700), 0)</f>
        <v>1</v>
      </c>
      <c r="C1700">
        <f>IF(B1700&gt;0, MAX($C$2:C1699)+1, "")</f>
        <v>1698</v>
      </c>
      <c r="D1700" t="str">
        <f t="shared" si="26"/>
        <v/>
      </c>
    </row>
    <row r="1701" spans="1:4">
      <c r="A1701" s="42" t="s">
        <v>1763</v>
      </c>
      <c r="B1701">
        <f>IFERROR(FIND('Simulador IR 2025'!$I$29, A1701), 0)</f>
        <v>1</v>
      </c>
      <c r="C1701">
        <f>IF(B1701&gt;0, MAX($C$2:C1700)+1, "")</f>
        <v>1699</v>
      </c>
      <c r="D1701" t="str">
        <f t="shared" si="26"/>
        <v/>
      </c>
    </row>
    <row r="1702" spans="1:4">
      <c r="A1702" s="42" t="s">
        <v>1764</v>
      </c>
      <c r="B1702">
        <f>IFERROR(FIND('Simulador IR 2025'!$I$29, A1702), 0)</f>
        <v>1</v>
      </c>
      <c r="C1702">
        <f>IF(B1702&gt;0, MAX($C$2:C1701)+1, "")</f>
        <v>1700</v>
      </c>
      <c r="D1702" t="str">
        <f t="shared" si="26"/>
        <v/>
      </c>
    </row>
    <row r="1703" spans="1:4">
      <c r="A1703" s="42" t="s">
        <v>1765</v>
      </c>
      <c r="B1703">
        <f>IFERROR(FIND('Simulador IR 2025'!$I$29, A1703), 0)</f>
        <v>1</v>
      </c>
      <c r="C1703">
        <f>IF(B1703&gt;0, MAX($C$2:C1702)+1, "")</f>
        <v>1701</v>
      </c>
      <c r="D1703" t="str">
        <f t="shared" si="26"/>
        <v/>
      </c>
    </row>
    <row r="1704" spans="1:4">
      <c r="A1704" s="42" t="s">
        <v>1766</v>
      </c>
      <c r="B1704">
        <f>IFERROR(FIND('Simulador IR 2025'!$I$29, A1704), 0)</f>
        <v>1</v>
      </c>
      <c r="C1704">
        <f>IF(B1704&gt;0, MAX($C$2:C1703)+1, "")</f>
        <v>1702</v>
      </c>
      <c r="D1704" t="str">
        <f t="shared" si="26"/>
        <v/>
      </c>
    </row>
    <row r="1705" spans="1:4">
      <c r="A1705" s="42" t="s">
        <v>1767</v>
      </c>
      <c r="B1705">
        <f>IFERROR(FIND('Simulador IR 2025'!$I$29, A1705), 0)</f>
        <v>1</v>
      </c>
      <c r="C1705">
        <f>IF(B1705&gt;0, MAX($C$2:C1704)+1, "")</f>
        <v>1703</v>
      </c>
      <c r="D1705" t="str">
        <f t="shared" si="26"/>
        <v/>
      </c>
    </row>
    <row r="1706" spans="1:4">
      <c r="A1706" s="42" t="s">
        <v>1768</v>
      </c>
      <c r="B1706">
        <f>IFERROR(FIND('Simulador IR 2025'!$I$29, A1706), 0)</f>
        <v>1</v>
      </c>
      <c r="C1706">
        <f>IF(B1706&gt;0, MAX($C$2:C1705)+1, "")</f>
        <v>1704</v>
      </c>
      <c r="D1706" t="str">
        <f t="shared" si="26"/>
        <v/>
      </c>
    </row>
    <row r="1707" spans="1:4">
      <c r="A1707" s="42" t="s">
        <v>1769</v>
      </c>
      <c r="B1707">
        <f>IFERROR(FIND('Simulador IR 2025'!$I$29, A1707), 0)</f>
        <v>1</v>
      </c>
      <c r="C1707">
        <f>IF(B1707&gt;0, MAX($C$2:C1706)+1, "")</f>
        <v>1705</v>
      </c>
      <c r="D1707" t="str">
        <f t="shared" si="26"/>
        <v/>
      </c>
    </row>
    <row r="1708" spans="1:4">
      <c r="A1708" s="42" t="s">
        <v>1770</v>
      </c>
      <c r="B1708">
        <f>IFERROR(FIND('Simulador IR 2025'!$I$29, A1708), 0)</f>
        <v>1</v>
      </c>
      <c r="C1708">
        <f>IF(B1708&gt;0, MAX($C$2:C1707)+1, "")</f>
        <v>1706</v>
      </c>
      <c r="D1708" t="str">
        <f t="shared" si="26"/>
        <v/>
      </c>
    </row>
    <row r="1709" spans="1:4">
      <c r="A1709" s="42" t="s">
        <v>1771</v>
      </c>
      <c r="B1709">
        <f>IFERROR(FIND('Simulador IR 2025'!$I$29, A1709), 0)</f>
        <v>1</v>
      </c>
      <c r="C1709">
        <f>IF(B1709&gt;0, MAX($C$2:C1708)+1, "")</f>
        <v>1707</v>
      </c>
      <c r="D1709" t="str">
        <f t="shared" si="26"/>
        <v/>
      </c>
    </row>
    <row r="1710" spans="1:4">
      <c r="A1710" s="42" t="s">
        <v>1772</v>
      </c>
      <c r="B1710">
        <f>IFERROR(FIND('Simulador IR 2025'!$I$29, A1710), 0)</f>
        <v>1</v>
      </c>
      <c r="C1710">
        <f>IF(B1710&gt;0, MAX($C$2:C1709)+1, "")</f>
        <v>1708</v>
      </c>
      <c r="D1710" t="str">
        <f t="shared" si="26"/>
        <v/>
      </c>
    </row>
    <row r="1711" spans="1:4">
      <c r="A1711" s="42" t="s">
        <v>1773</v>
      </c>
      <c r="B1711">
        <f>IFERROR(FIND('Simulador IR 2025'!$I$29, A1711), 0)</f>
        <v>1</v>
      </c>
      <c r="C1711">
        <f>IF(B1711&gt;0, MAX($C$2:C1710)+1, "")</f>
        <v>1709</v>
      </c>
      <c r="D1711" t="str">
        <f t="shared" si="26"/>
        <v/>
      </c>
    </row>
    <row r="1712" spans="1:4">
      <c r="A1712" s="42" t="s">
        <v>1774</v>
      </c>
      <c r="B1712">
        <f>IFERROR(FIND('Simulador IR 2025'!$I$29, A1712), 0)</f>
        <v>1</v>
      </c>
      <c r="C1712">
        <f>IF(B1712&gt;0, MAX($C$2:C1711)+1, "")</f>
        <v>1710</v>
      </c>
      <c r="D1712" t="str">
        <f t="shared" si="26"/>
        <v/>
      </c>
    </row>
    <row r="1713" spans="1:4">
      <c r="A1713" s="42" t="s">
        <v>1775</v>
      </c>
      <c r="B1713">
        <f>IFERROR(FIND('Simulador IR 2025'!$I$29, A1713), 0)</f>
        <v>1</v>
      </c>
      <c r="C1713">
        <f>IF(B1713&gt;0, MAX($C$2:C1712)+1, "")</f>
        <v>1711</v>
      </c>
      <c r="D1713" t="str">
        <f t="shared" si="26"/>
        <v/>
      </c>
    </row>
    <row r="1714" spans="1:4">
      <c r="A1714" s="42" t="s">
        <v>1776</v>
      </c>
      <c r="B1714">
        <f>IFERROR(FIND('Simulador IR 2025'!$I$29, A1714), 0)</f>
        <v>1</v>
      </c>
      <c r="C1714">
        <f>IF(B1714&gt;0, MAX($C$2:C1713)+1, "")</f>
        <v>1712</v>
      </c>
      <c r="D1714" t="str">
        <f t="shared" si="26"/>
        <v/>
      </c>
    </row>
    <row r="1715" spans="1:4">
      <c r="A1715" s="42" t="s">
        <v>1777</v>
      </c>
      <c r="B1715">
        <f>IFERROR(FIND('Simulador IR 2025'!$I$29, A1715), 0)</f>
        <v>1</v>
      </c>
      <c r="C1715">
        <f>IF(B1715&gt;0, MAX($C$2:C1714)+1, "")</f>
        <v>1713</v>
      </c>
      <c r="D1715" t="str">
        <f t="shared" si="26"/>
        <v/>
      </c>
    </row>
    <row r="1716" spans="1:4">
      <c r="A1716" s="42" t="s">
        <v>1778</v>
      </c>
      <c r="B1716">
        <f>IFERROR(FIND('Simulador IR 2025'!$I$29, A1716), 0)</f>
        <v>1</v>
      </c>
      <c r="C1716">
        <f>IF(B1716&gt;0, MAX($C$2:C1715)+1, "")</f>
        <v>1714</v>
      </c>
      <c r="D1716" t="str">
        <f t="shared" si="26"/>
        <v/>
      </c>
    </row>
    <row r="1717" spans="1:4">
      <c r="A1717" s="42" t="s">
        <v>1779</v>
      </c>
      <c r="B1717">
        <f>IFERROR(FIND('Simulador IR 2025'!$I$29, A1717), 0)</f>
        <v>1</v>
      </c>
      <c r="C1717">
        <f>IF(B1717&gt;0, MAX($C$2:C1716)+1, "")</f>
        <v>1715</v>
      </c>
      <c r="D1717" t="str">
        <f t="shared" si="26"/>
        <v/>
      </c>
    </row>
    <row r="1718" spans="1:4">
      <c r="A1718" s="42" t="s">
        <v>1780</v>
      </c>
      <c r="B1718">
        <f>IFERROR(FIND('Simulador IR 2025'!$I$29, A1718), 0)</f>
        <v>1</v>
      </c>
      <c r="C1718">
        <f>IF(B1718&gt;0, MAX($C$2:C1717)+1, "")</f>
        <v>1716</v>
      </c>
      <c r="D1718" t="str">
        <f t="shared" si="26"/>
        <v/>
      </c>
    </row>
    <row r="1719" spans="1:4">
      <c r="A1719" s="42" t="s">
        <v>1781</v>
      </c>
      <c r="B1719">
        <f>IFERROR(FIND('Simulador IR 2025'!$I$29, A1719), 0)</f>
        <v>1</v>
      </c>
      <c r="C1719">
        <f>IF(B1719&gt;0, MAX($C$2:C1718)+1, "")</f>
        <v>1717</v>
      </c>
      <c r="D1719" t="str">
        <f t="shared" si="26"/>
        <v/>
      </c>
    </row>
    <row r="1720" spans="1:4">
      <c r="A1720" s="42" t="s">
        <v>1782</v>
      </c>
      <c r="B1720">
        <f>IFERROR(FIND('Simulador IR 2025'!$I$29, A1720), 0)</f>
        <v>1</v>
      </c>
      <c r="C1720">
        <f>IF(B1720&gt;0, MAX($C$2:C1719)+1, "")</f>
        <v>1718</v>
      </c>
      <c r="D1720" t="str">
        <f t="shared" si="26"/>
        <v/>
      </c>
    </row>
    <row r="1721" spans="1:4">
      <c r="A1721" s="42" t="s">
        <v>1783</v>
      </c>
      <c r="B1721">
        <f>IFERROR(FIND('Simulador IR 2025'!$I$29, A1721), 0)</f>
        <v>1</v>
      </c>
      <c r="C1721">
        <f>IF(B1721&gt;0, MAX($C$2:C1720)+1, "")</f>
        <v>1719</v>
      </c>
      <c r="D1721" t="str">
        <f t="shared" si="26"/>
        <v/>
      </c>
    </row>
    <row r="1722" spans="1:4">
      <c r="A1722" s="42" t="s">
        <v>1784</v>
      </c>
      <c r="B1722">
        <f>IFERROR(FIND('Simulador IR 2025'!$I$29, A1722), 0)</f>
        <v>1</v>
      </c>
      <c r="C1722">
        <f>IF(B1722&gt;0, MAX($C$2:C1721)+1, "")</f>
        <v>1720</v>
      </c>
      <c r="D1722" t="str">
        <f t="shared" si="26"/>
        <v/>
      </c>
    </row>
    <row r="1723" spans="1:4">
      <c r="A1723" s="42" t="s">
        <v>1785</v>
      </c>
      <c r="B1723">
        <f>IFERROR(FIND('Simulador IR 2025'!$I$29, A1723), 0)</f>
        <v>1</v>
      </c>
      <c r="C1723">
        <f>IF(B1723&gt;0, MAX($C$2:C1722)+1, "")</f>
        <v>1721</v>
      </c>
      <c r="D1723" t="str">
        <f t="shared" si="26"/>
        <v/>
      </c>
    </row>
    <row r="1724" spans="1:4">
      <c r="A1724" s="42" t="s">
        <v>1786</v>
      </c>
      <c r="B1724">
        <f>IFERROR(FIND('Simulador IR 2025'!$I$29, A1724), 0)</f>
        <v>1</v>
      </c>
      <c r="C1724">
        <f>IF(B1724&gt;0, MAX($C$2:C1723)+1, "")</f>
        <v>1722</v>
      </c>
      <c r="D1724" t="str">
        <f t="shared" si="26"/>
        <v/>
      </c>
    </row>
    <row r="1725" spans="1:4">
      <c r="A1725" s="42" t="s">
        <v>1787</v>
      </c>
      <c r="B1725">
        <f>IFERROR(FIND('Simulador IR 2025'!$I$29, A1725), 0)</f>
        <v>1</v>
      </c>
      <c r="C1725">
        <f>IF(B1725&gt;0, MAX($C$2:C1724)+1, "")</f>
        <v>1723</v>
      </c>
      <c r="D1725" t="str">
        <f t="shared" si="26"/>
        <v/>
      </c>
    </row>
    <row r="1726" spans="1:4">
      <c r="A1726" s="42" t="s">
        <v>1788</v>
      </c>
      <c r="B1726">
        <f>IFERROR(FIND('Simulador IR 2025'!$I$29, A1726), 0)</f>
        <v>1</v>
      </c>
      <c r="C1726">
        <f>IF(B1726&gt;0, MAX($C$2:C1725)+1, "")</f>
        <v>1724</v>
      </c>
      <c r="D1726" t="str">
        <f t="shared" si="26"/>
        <v/>
      </c>
    </row>
    <row r="1727" spans="1:4">
      <c r="A1727" s="42" t="s">
        <v>1789</v>
      </c>
      <c r="B1727">
        <f>IFERROR(FIND('Simulador IR 2025'!$I$29, A1727), 0)</f>
        <v>1</v>
      </c>
      <c r="C1727">
        <f>IF(B1727&gt;0, MAX($C$2:C1726)+1, "")</f>
        <v>1725</v>
      </c>
      <c r="D1727" t="str">
        <f t="shared" si="26"/>
        <v/>
      </c>
    </row>
    <row r="1728" spans="1:4">
      <c r="A1728" s="42" t="s">
        <v>1790</v>
      </c>
      <c r="B1728">
        <f>IFERROR(FIND('Simulador IR 2025'!$I$29, A1728), 0)</f>
        <v>1</v>
      </c>
      <c r="C1728">
        <f>IF(B1728&gt;0, MAX($C$2:C1727)+1, "")</f>
        <v>1726</v>
      </c>
      <c r="D1728" t="str">
        <f t="shared" si="26"/>
        <v/>
      </c>
    </row>
    <row r="1729" spans="1:4">
      <c r="A1729" s="42" t="s">
        <v>1791</v>
      </c>
      <c r="B1729">
        <f>IFERROR(FIND('Simulador IR 2025'!$I$29, A1729), 0)</f>
        <v>1</v>
      </c>
      <c r="C1729">
        <f>IF(B1729&gt;0, MAX($C$2:C1728)+1, "")</f>
        <v>1727</v>
      </c>
      <c r="D1729" t="str">
        <f t="shared" si="26"/>
        <v/>
      </c>
    </row>
    <row r="1730" spans="1:4">
      <c r="A1730" s="42" t="s">
        <v>1792</v>
      </c>
      <c r="B1730">
        <f>IFERROR(FIND('Simulador IR 2025'!$I$29, A1730), 0)</f>
        <v>1</v>
      </c>
      <c r="C1730">
        <f>IF(B1730&gt;0, MAX($C$2:C1729)+1, "")</f>
        <v>1728</v>
      </c>
      <c r="D1730" t="str">
        <f t="shared" si="26"/>
        <v/>
      </c>
    </row>
    <row r="1731" spans="1:4">
      <c r="A1731" s="42" t="s">
        <v>1793</v>
      </c>
      <c r="B1731">
        <f>IFERROR(FIND('Simulador IR 2025'!$I$29, A1731), 0)</f>
        <v>1</v>
      </c>
      <c r="C1731">
        <f>IF(B1731&gt;0, MAX($C$2:C1730)+1, "")</f>
        <v>1729</v>
      </c>
      <c r="D1731" t="str">
        <f t="shared" si="26"/>
        <v/>
      </c>
    </row>
    <row r="1732" spans="1:4">
      <c r="A1732" s="42" t="s">
        <v>1794</v>
      </c>
      <c r="B1732">
        <f>IFERROR(FIND('Simulador IR 2025'!$I$29, A1732), 0)</f>
        <v>1</v>
      </c>
      <c r="C1732">
        <f>IF(B1732&gt;0, MAX($C$2:C1731)+1, "")</f>
        <v>1730</v>
      </c>
      <c r="D1732" t="str">
        <f t="shared" ref="D1732:D1795" si="27">IFERROR(VLOOKUP(ROW(A1730), $A$3:$C$2681, -2, FALSE), "")</f>
        <v/>
      </c>
    </row>
    <row r="1733" spans="1:4">
      <c r="A1733" s="42" t="s">
        <v>1795</v>
      </c>
      <c r="B1733">
        <f>IFERROR(FIND('Simulador IR 2025'!$I$29, A1733), 0)</f>
        <v>1</v>
      </c>
      <c r="C1733">
        <f>IF(B1733&gt;0, MAX($C$2:C1732)+1, "")</f>
        <v>1731</v>
      </c>
      <c r="D1733" t="str">
        <f t="shared" si="27"/>
        <v/>
      </c>
    </row>
    <row r="1734" spans="1:4">
      <c r="A1734" s="42" t="s">
        <v>1796</v>
      </c>
      <c r="B1734">
        <f>IFERROR(FIND('Simulador IR 2025'!$I$29, A1734), 0)</f>
        <v>1</v>
      </c>
      <c r="C1734">
        <f>IF(B1734&gt;0, MAX($C$2:C1733)+1, "")</f>
        <v>1732</v>
      </c>
      <c r="D1734" t="str">
        <f t="shared" si="27"/>
        <v/>
      </c>
    </row>
    <row r="1735" spans="1:4">
      <c r="A1735" s="42" t="s">
        <v>1797</v>
      </c>
      <c r="B1735">
        <f>IFERROR(FIND('Simulador IR 2025'!$I$29, A1735), 0)</f>
        <v>1</v>
      </c>
      <c r="C1735">
        <f>IF(B1735&gt;0, MAX($C$2:C1734)+1, "")</f>
        <v>1733</v>
      </c>
      <c r="D1735" t="str">
        <f t="shared" si="27"/>
        <v/>
      </c>
    </row>
    <row r="1736" spans="1:4">
      <c r="A1736" s="42" t="s">
        <v>1798</v>
      </c>
      <c r="B1736">
        <f>IFERROR(FIND('Simulador IR 2025'!$I$29, A1736), 0)</f>
        <v>1</v>
      </c>
      <c r="C1736">
        <f>IF(B1736&gt;0, MAX($C$2:C1735)+1, "")</f>
        <v>1734</v>
      </c>
      <c r="D1736" t="str">
        <f t="shared" si="27"/>
        <v/>
      </c>
    </row>
    <row r="1737" spans="1:4">
      <c r="A1737" s="42" t="s">
        <v>1799</v>
      </c>
      <c r="B1737">
        <f>IFERROR(FIND('Simulador IR 2025'!$I$29, A1737), 0)</f>
        <v>1</v>
      </c>
      <c r="C1737">
        <f>IF(B1737&gt;0, MAX($C$2:C1736)+1, "")</f>
        <v>1735</v>
      </c>
      <c r="D1737" t="str">
        <f t="shared" si="27"/>
        <v/>
      </c>
    </row>
    <row r="1738" spans="1:4">
      <c r="A1738" s="42" t="s">
        <v>1800</v>
      </c>
      <c r="B1738">
        <f>IFERROR(FIND('Simulador IR 2025'!$I$29, A1738), 0)</f>
        <v>1</v>
      </c>
      <c r="C1738">
        <f>IF(B1738&gt;0, MAX($C$2:C1737)+1, "")</f>
        <v>1736</v>
      </c>
      <c r="D1738" t="str">
        <f t="shared" si="27"/>
        <v/>
      </c>
    </row>
    <row r="1739" spans="1:4">
      <c r="A1739" s="42" t="s">
        <v>1801</v>
      </c>
      <c r="B1739">
        <f>IFERROR(FIND('Simulador IR 2025'!$I$29, A1739), 0)</f>
        <v>1</v>
      </c>
      <c r="C1739">
        <f>IF(B1739&gt;0, MAX($C$2:C1738)+1, "")</f>
        <v>1737</v>
      </c>
      <c r="D1739" t="str">
        <f t="shared" si="27"/>
        <v/>
      </c>
    </row>
    <row r="1740" spans="1:4">
      <c r="A1740" s="42" t="s">
        <v>1802</v>
      </c>
      <c r="B1740">
        <f>IFERROR(FIND('Simulador IR 2025'!$I$29, A1740), 0)</f>
        <v>1</v>
      </c>
      <c r="C1740">
        <f>IF(B1740&gt;0, MAX($C$2:C1739)+1, "")</f>
        <v>1738</v>
      </c>
      <c r="D1740" t="str">
        <f t="shared" si="27"/>
        <v/>
      </c>
    </row>
    <row r="1741" spans="1:4">
      <c r="A1741" s="42" t="s">
        <v>1803</v>
      </c>
      <c r="B1741">
        <f>IFERROR(FIND('Simulador IR 2025'!$I$29, A1741), 0)</f>
        <v>1</v>
      </c>
      <c r="C1741">
        <f>IF(B1741&gt;0, MAX($C$2:C1740)+1, "")</f>
        <v>1739</v>
      </c>
      <c r="D1741" t="str">
        <f t="shared" si="27"/>
        <v/>
      </c>
    </row>
    <row r="1742" spans="1:4">
      <c r="A1742" s="42" t="s">
        <v>1804</v>
      </c>
      <c r="B1742">
        <f>IFERROR(FIND('Simulador IR 2025'!$I$29, A1742), 0)</f>
        <v>1</v>
      </c>
      <c r="C1742">
        <f>IF(B1742&gt;0, MAX($C$2:C1741)+1, "")</f>
        <v>1740</v>
      </c>
      <c r="D1742" t="str">
        <f t="shared" si="27"/>
        <v/>
      </c>
    </row>
    <row r="1743" spans="1:4">
      <c r="A1743" s="42" t="s">
        <v>1805</v>
      </c>
      <c r="B1743">
        <f>IFERROR(FIND('Simulador IR 2025'!$I$29, A1743), 0)</f>
        <v>1</v>
      </c>
      <c r="C1743">
        <f>IF(B1743&gt;0, MAX($C$2:C1742)+1, "")</f>
        <v>1741</v>
      </c>
      <c r="D1743" t="str">
        <f t="shared" si="27"/>
        <v/>
      </c>
    </row>
    <row r="1744" spans="1:4">
      <c r="A1744" s="42" t="s">
        <v>1806</v>
      </c>
      <c r="B1744">
        <f>IFERROR(FIND('Simulador IR 2025'!$I$29, A1744), 0)</f>
        <v>1</v>
      </c>
      <c r="C1744">
        <f>IF(B1744&gt;0, MAX($C$2:C1743)+1, "")</f>
        <v>1742</v>
      </c>
      <c r="D1744" t="str">
        <f t="shared" si="27"/>
        <v/>
      </c>
    </row>
    <row r="1745" spans="1:4">
      <c r="A1745" s="42" t="s">
        <v>1807</v>
      </c>
      <c r="B1745">
        <f>IFERROR(FIND('Simulador IR 2025'!$I$29, A1745), 0)</f>
        <v>1</v>
      </c>
      <c r="C1745">
        <f>IF(B1745&gt;0, MAX($C$2:C1744)+1, "")</f>
        <v>1743</v>
      </c>
      <c r="D1745" t="str">
        <f t="shared" si="27"/>
        <v/>
      </c>
    </row>
    <row r="1746" spans="1:4">
      <c r="A1746" s="42" t="s">
        <v>1808</v>
      </c>
      <c r="B1746">
        <f>IFERROR(FIND('Simulador IR 2025'!$I$29, A1746), 0)</f>
        <v>1</v>
      </c>
      <c r="C1746">
        <f>IF(B1746&gt;0, MAX($C$2:C1745)+1, "")</f>
        <v>1744</v>
      </c>
      <c r="D1746" t="str">
        <f t="shared" si="27"/>
        <v/>
      </c>
    </row>
    <row r="1747" spans="1:4">
      <c r="A1747" s="42" t="s">
        <v>1809</v>
      </c>
      <c r="B1747">
        <f>IFERROR(FIND('Simulador IR 2025'!$I$29, A1747), 0)</f>
        <v>1</v>
      </c>
      <c r="C1747">
        <f>IF(B1747&gt;0, MAX($C$2:C1746)+1, "")</f>
        <v>1745</v>
      </c>
      <c r="D1747" t="str">
        <f t="shared" si="27"/>
        <v/>
      </c>
    </row>
    <row r="1748" spans="1:4">
      <c r="A1748" s="42" t="s">
        <v>1810</v>
      </c>
      <c r="B1748">
        <f>IFERROR(FIND('Simulador IR 2025'!$I$29, A1748), 0)</f>
        <v>1</v>
      </c>
      <c r="C1748">
        <f>IF(B1748&gt;0, MAX($C$2:C1747)+1, "")</f>
        <v>1746</v>
      </c>
      <c r="D1748" t="str">
        <f t="shared" si="27"/>
        <v/>
      </c>
    </row>
    <row r="1749" spans="1:4">
      <c r="A1749" s="42" t="s">
        <v>1811</v>
      </c>
      <c r="B1749">
        <f>IFERROR(FIND('Simulador IR 2025'!$I$29, A1749), 0)</f>
        <v>1</v>
      </c>
      <c r="C1749">
        <f>IF(B1749&gt;0, MAX($C$2:C1748)+1, "")</f>
        <v>1747</v>
      </c>
      <c r="D1749" t="str">
        <f t="shared" si="27"/>
        <v/>
      </c>
    </row>
    <row r="1750" spans="1:4">
      <c r="A1750" s="42" t="s">
        <v>1812</v>
      </c>
      <c r="B1750">
        <f>IFERROR(FIND('Simulador IR 2025'!$I$29, A1750), 0)</f>
        <v>1</v>
      </c>
      <c r="C1750">
        <f>IF(B1750&gt;0, MAX($C$2:C1749)+1, "")</f>
        <v>1748</v>
      </c>
      <c r="D1750" t="str">
        <f t="shared" si="27"/>
        <v/>
      </c>
    </row>
    <row r="1751" spans="1:4">
      <c r="A1751" s="42" t="s">
        <v>1813</v>
      </c>
      <c r="B1751">
        <f>IFERROR(FIND('Simulador IR 2025'!$I$29, A1751), 0)</f>
        <v>1</v>
      </c>
      <c r="C1751">
        <f>IF(B1751&gt;0, MAX($C$2:C1750)+1, "")</f>
        <v>1749</v>
      </c>
      <c r="D1751" t="str">
        <f t="shared" si="27"/>
        <v/>
      </c>
    </row>
    <row r="1752" spans="1:4">
      <c r="A1752" s="42" t="s">
        <v>1814</v>
      </c>
      <c r="B1752">
        <f>IFERROR(FIND('Simulador IR 2025'!$I$29, A1752), 0)</f>
        <v>1</v>
      </c>
      <c r="C1752">
        <f>IF(B1752&gt;0, MAX($C$2:C1751)+1, "")</f>
        <v>1750</v>
      </c>
      <c r="D1752" t="str">
        <f t="shared" si="27"/>
        <v/>
      </c>
    </row>
    <row r="1753" spans="1:4">
      <c r="A1753" s="42" t="s">
        <v>1815</v>
      </c>
      <c r="B1753">
        <f>IFERROR(FIND('Simulador IR 2025'!$I$29, A1753), 0)</f>
        <v>1</v>
      </c>
      <c r="C1753">
        <f>IF(B1753&gt;0, MAX($C$2:C1752)+1, "")</f>
        <v>1751</v>
      </c>
      <c r="D1753" t="str">
        <f t="shared" si="27"/>
        <v/>
      </c>
    </row>
    <row r="1754" spans="1:4">
      <c r="A1754" s="42" t="s">
        <v>1816</v>
      </c>
      <c r="B1754">
        <f>IFERROR(FIND('Simulador IR 2025'!$I$29, A1754), 0)</f>
        <v>1</v>
      </c>
      <c r="C1754">
        <f>IF(B1754&gt;0, MAX($C$2:C1753)+1, "")</f>
        <v>1752</v>
      </c>
      <c r="D1754" t="str">
        <f t="shared" si="27"/>
        <v/>
      </c>
    </row>
    <row r="1755" spans="1:4">
      <c r="A1755" s="42" t="s">
        <v>1817</v>
      </c>
      <c r="B1755">
        <f>IFERROR(FIND('Simulador IR 2025'!$I$29, A1755), 0)</f>
        <v>1</v>
      </c>
      <c r="C1755">
        <f>IF(B1755&gt;0, MAX($C$2:C1754)+1, "")</f>
        <v>1753</v>
      </c>
      <c r="D1755" t="str">
        <f t="shared" si="27"/>
        <v/>
      </c>
    </row>
    <row r="1756" spans="1:4">
      <c r="A1756" s="42" t="s">
        <v>1818</v>
      </c>
      <c r="B1756">
        <f>IFERROR(FIND('Simulador IR 2025'!$I$29, A1756), 0)</f>
        <v>1</v>
      </c>
      <c r="C1756">
        <f>IF(B1756&gt;0, MAX($C$2:C1755)+1, "")</f>
        <v>1754</v>
      </c>
      <c r="D1756" t="str">
        <f t="shared" si="27"/>
        <v/>
      </c>
    </row>
    <row r="1757" spans="1:4">
      <c r="A1757" s="42" t="s">
        <v>1819</v>
      </c>
      <c r="B1757">
        <f>IFERROR(FIND('Simulador IR 2025'!$I$29, A1757), 0)</f>
        <v>1</v>
      </c>
      <c r="C1757">
        <f>IF(B1757&gt;0, MAX($C$2:C1756)+1, "")</f>
        <v>1755</v>
      </c>
      <c r="D1757" t="str">
        <f t="shared" si="27"/>
        <v/>
      </c>
    </row>
    <row r="1758" spans="1:4">
      <c r="A1758" s="42" t="s">
        <v>1820</v>
      </c>
      <c r="B1758">
        <f>IFERROR(FIND('Simulador IR 2025'!$I$29, A1758), 0)</f>
        <v>1</v>
      </c>
      <c r="C1758">
        <f>IF(B1758&gt;0, MAX($C$2:C1757)+1, "")</f>
        <v>1756</v>
      </c>
      <c r="D1758" t="str">
        <f t="shared" si="27"/>
        <v/>
      </c>
    </row>
    <row r="1759" spans="1:4">
      <c r="A1759" s="42" t="s">
        <v>1821</v>
      </c>
      <c r="B1759">
        <f>IFERROR(FIND('Simulador IR 2025'!$I$29, A1759), 0)</f>
        <v>1</v>
      </c>
      <c r="C1759">
        <f>IF(B1759&gt;0, MAX($C$2:C1758)+1, "")</f>
        <v>1757</v>
      </c>
      <c r="D1759" t="str">
        <f t="shared" si="27"/>
        <v/>
      </c>
    </row>
    <row r="1760" spans="1:4">
      <c r="A1760" s="42" t="s">
        <v>1822</v>
      </c>
      <c r="B1760">
        <f>IFERROR(FIND('Simulador IR 2025'!$I$29, A1760), 0)</f>
        <v>1</v>
      </c>
      <c r="C1760">
        <f>IF(B1760&gt;0, MAX($C$2:C1759)+1, "")</f>
        <v>1758</v>
      </c>
      <c r="D1760" t="str">
        <f t="shared" si="27"/>
        <v/>
      </c>
    </row>
    <row r="1761" spans="1:4">
      <c r="A1761" s="42" t="s">
        <v>1823</v>
      </c>
      <c r="B1761">
        <f>IFERROR(FIND('Simulador IR 2025'!$I$29, A1761), 0)</f>
        <v>1</v>
      </c>
      <c r="C1761">
        <f>IF(B1761&gt;0, MAX($C$2:C1760)+1, "")</f>
        <v>1759</v>
      </c>
      <c r="D1761" t="str">
        <f t="shared" si="27"/>
        <v/>
      </c>
    </row>
    <row r="1762" spans="1:4">
      <c r="A1762" s="42" t="s">
        <v>1824</v>
      </c>
      <c r="B1762">
        <f>IFERROR(FIND('Simulador IR 2025'!$I$29, A1762), 0)</f>
        <v>1</v>
      </c>
      <c r="C1762">
        <f>IF(B1762&gt;0, MAX($C$2:C1761)+1, "")</f>
        <v>1760</v>
      </c>
      <c r="D1762" t="str">
        <f t="shared" si="27"/>
        <v/>
      </c>
    </row>
    <row r="1763" spans="1:4">
      <c r="A1763" s="42" t="s">
        <v>1825</v>
      </c>
      <c r="B1763">
        <f>IFERROR(FIND('Simulador IR 2025'!$I$29, A1763), 0)</f>
        <v>1</v>
      </c>
      <c r="C1763">
        <f>IF(B1763&gt;0, MAX($C$2:C1762)+1, "")</f>
        <v>1761</v>
      </c>
      <c r="D1763" t="str">
        <f t="shared" si="27"/>
        <v/>
      </c>
    </row>
    <row r="1764" spans="1:4">
      <c r="A1764" s="42" t="s">
        <v>1826</v>
      </c>
      <c r="B1764">
        <f>IFERROR(FIND('Simulador IR 2025'!$I$29, A1764), 0)</f>
        <v>1</v>
      </c>
      <c r="C1764">
        <f>IF(B1764&gt;0, MAX($C$2:C1763)+1, "")</f>
        <v>1762</v>
      </c>
      <c r="D1764" t="str">
        <f t="shared" si="27"/>
        <v/>
      </c>
    </row>
    <row r="1765" spans="1:4">
      <c r="A1765" s="42" t="s">
        <v>1827</v>
      </c>
      <c r="B1765">
        <f>IFERROR(FIND('Simulador IR 2025'!$I$29, A1765), 0)</f>
        <v>1</v>
      </c>
      <c r="C1765">
        <f>IF(B1765&gt;0, MAX($C$2:C1764)+1, "")</f>
        <v>1763</v>
      </c>
      <c r="D1765" t="str">
        <f t="shared" si="27"/>
        <v/>
      </c>
    </row>
    <row r="1766" spans="1:4">
      <c r="A1766" s="42" t="s">
        <v>1828</v>
      </c>
      <c r="B1766">
        <f>IFERROR(FIND('Simulador IR 2025'!$I$29, A1766), 0)</f>
        <v>1</v>
      </c>
      <c r="C1766">
        <f>IF(B1766&gt;0, MAX($C$2:C1765)+1, "")</f>
        <v>1764</v>
      </c>
      <c r="D1766" t="str">
        <f t="shared" si="27"/>
        <v/>
      </c>
    </row>
    <row r="1767" spans="1:4">
      <c r="A1767" s="42" t="s">
        <v>1829</v>
      </c>
      <c r="B1767">
        <f>IFERROR(FIND('Simulador IR 2025'!$I$29, A1767), 0)</f>
        <v>1</v>
      </c>
      <c r="C1767">
        <f>IF(B1767&gt;0, MAX($C$2:C1766)+1, "")</f>
        <v>1765</v>
      </c>
      <c r="D1767" t="str">
        <f t="shared" si="27"/>
        <v/>
      </c>
    </row>
    <row r="1768" spans="1:4">
      <c r="A1768" s="42" t="s">
        <v>1830</v>
      </c>
      <c r="B1768">
        <f>IFERROR(FIND('Simulador IR 2025'!$I$29, A1768), 0)</f>
        <v>1</v>
      </c>
      <c r="C1768">
        <f>IF(B1768&gt;0, MAX($C$2:C1767)+1, "")</f>
        <v>1766</v>
      </c>
      <c r="D1768" t="str">
        <f t="shared" si="27"/>
        <v/>
      </c>
    </row>
    <row r="1769" spans="1:4">
      <c r="A1769" s="42" t="s">
        <v>1831</v>
      </c>
      <c r="B1769">
        <f>IFERROR(FIND('Simulador IR 2025'!$I$29, A1769), 0)</f>
        <v>1</v>
      </c>
      <c r="C1769">
        <f>IF(B1769&gt;0, MAX($C$2:C1768)+1, "")</f>
        <v>1767</v>
      </c>
      <c r="D1769" t="str">
        <f t="shared" si="27"/>
        <v/>
      </c>
    </row>
    <row r="1770" spans="1:4">
      <c r="A1770" s="42" t="s">
        <v>1832</v>
      </c>
      <c r="B1770">
        <f>IFERROR(FIND('Simulador IR 2025'!$I$29, A1770), 0)</f>
        <v>1</v>
      </c>
      <c r="C1770">
        <f>IF(B1770&gt;0, MAX($C$2:C1769)+1, "")</f>
        <v>1768</v>
      </c>
      <c r="D1770" t="str">
        <f t="shared" si="27"/>
        <v/>
      </c>
    </row>
    <row r="1771" spans="1:4">
      <c r="A1771" s="42" t="s">
        <v>1833</v>
      </c>
      <c r="B1771">
        <f>IFERROR(FIND('Simulador IR 2025'!$I$29, A1771), 0)</f>
        <v>1</v>
      </c>
      <c r="C1771">
        <f>IF(B1771&gt;0, MAX($C$2:C1770)+1, "")</f>
        <v>1769</v>
      </c>
      <c r="D1771" t="str">
        <f t="shared" si="27"/>
        <v/>
      </c>
    </row>
    <row r="1772" spans="1:4">
      <c r="A1772" s="42" t="s">
        <v>1834</v>
      </c>
      <c r="B1772">
        <f>IFERROR(FIND('Simulador IR 2025'!$I$29, A1772), 0)</f>
        <v>1</v>
      </c>
      <c r="C1772">
        <f>IF(B1772&gt;0, MAX($C$2:C1771)+1, "")</f>
        <v>1770</v>
      </c>
      <c r="D1772" t="str">
        <f t="shared" si="27"/>
        <v/>
      </c>
    </row>
    <row r="1773" spans="1:4">
      <c r="A1773" s="42" t="s">
        <v>1835</v>
      </c>
      <c r="B1773">
        <f>IFERROR(FIND('Simulador IR 2025'!$I$29, A1773), 0)</f>
        <v>1</v>
      </c>
      <c r="C1773">
        <f>IF(B1773&gt;0, MAX($C$2:C1772)+1, "")</f>
        <v>1771</v>
      </c>
      <c r="D1773" t="str">
        <f t="shared" si="27"/>
        <v/>
      </c>
    </row>
    <row r="1774" spans="1:4">
      <c r="A1774" s="42" t="s">
        <v>1836</v>
      </c>
      <c r="B1774">
        <f>IFERROR(FIND('Simulador IR 2025'!$I$29, A1774), 0)</f>
        <v>1</v>
      </c>
      <c r="C1774">
        <f>IF(B1774&gt;0, MAX($C$2:C1773)+1, "")</f>
        <v>1772</v>
      </c>
      <c r="D1774" t="str">
        <f t="shared" si="27"/>
        <v/>
      </c>
    </row>
    <row r="1775" spans="1:4">
      <c r="A1775" s="42" t="s">
        <v>1837</v>
      </c>
      <c r="B1775">
        <f>IFERROR(FIND('Simulador IR 2025'!$I$29, A1775), 0)</f>
        <v>1</v>
      </c>
      <c r="C1775">
        <f>IF(B1775&gt;0, MAX($C$2:C1774)+1, "")</f>
        <v>1773</v>
      </c>
      <c r="D1775" t="str">
        <f t="shared" si="27"/>
        <v/>
      </c>
    </row>
    <row r="1776" spans="1:4">
      <c r="A1776" s="42" t="s">
        <v>1838</v>
      </c>
      <c r="B1776">
        <f>IFERROR(FIND('Simulador IR 2025'!$I$29, A1776), 0)</f>
        <v>1</v>
      </c>
      <c r="C1776">
        <f>IF(B1776&gt;0, MAX($C$2:C1775)+1, "")</f>
        <v>1774</v>
      </c>
      <c r="D1776" t="str">
        <f t="shared" si="27"/>
        <v/>
      </c>
    </row>
    <row r="1777" spans="1:4">
      <c r="A1777" s="42" t="s">
        <v>1839</v>
      </c>
      <c r="B1777">
        <f>IFERROR(FIND('Simulador IR 2025'!$I$29, A1777), 0)</f>
        <v>1</v>
      </c>
      <c r="C1777">
        <f>IF(B1777&gt;0, MAX($C$2:C1776)+1, "")</f>
        <v>1775</v>
      </c>
      <c r="D1777" t="str">
        <f t="shared" si="27"/>
        <v/>
      </c>
    </row>
    <row r="1778" spans="1:4">
      <c r="A1778" s="42" t="s">
        <v>1840</v>
      </c>
      <c r="B1778">
        <f>IFERROR(FIND('Simulador IR 2025'!$I$29, A1778), 0)</f>
        <v>1</v>
      </c>
      <c r="C1778">
        <f>IF(B1778&gt;0, MAX($C$2:C1777)+1, "")</f>
        <v>1776</v>
      </c>
      <c r="D1778" t="str">
        <f t="shared" si="27"/>
        <v/>
      </c>
    </row>
    <row r="1779" spans="1:4">
      <c r="A1779" s="42" t="s">
        <v>1841</v>
      </c>
      <c r="B1779">
        <f>IFERROR(FIND('Simulador IR 2025'!$I$29, A1779), 0)</f>
        <v>1</v>
      </c>
      <c r="C1779">
        <f>IF(B1779&gt;0, MAX($C$2:C1778)+1, "")</f>
        <v>1777</v>
      </c>
      <c r="D1779" t="str">
        <f t="shared" si="27"/>
        <v/>
      </c>
    </row>
    <row r="1780" spans="1:4">
      <c r="A1780" s="42" t="s">
        <v>1842</v>
      </c>
      <c r="B1780">
        <f>IFERROR(FIND('Simulador IR 2025'!$I$29, A1780), 0)</f>
        <v>1</v>
      </c>
      <c r="C1780">
        <f>IF(B1780&gt;0, MAX($C$2:C1779)+1, "")</f>
        <v>1778</v>
      </c>
      <c r="D1780" t="str">
        <f t="shared" si="27"/>
        <v/>
      </c>
    </row>
    <row r="1781" spans="1:4">
      <c r="A1781" s="42" t="s">
        <v>1843</v>
      </c>
      <c r="B1781">
        <f>IFERROR(FIND('Simulador IR 2025'!$I$29, A1781), 0)</f>
        <v>1</v>
      </c>
      <c r="C1781">
        <f>IF(B1781&gt;0, MAX($C$2:C1780)+1, "")</f>
        <v>1779</v>
      </c>
      <c r="D1781" t="str">
        <f t="shared" si="27"/>
        <v/>
      </c>
    </row>
    <row r="1782" spans="1:4">
      <c r="A1782" s="42" t="s">
        <v>1844</v>
      </c>
      <c r="B1782">
        <f>IFERROR(FIND('Simulador IR 2025'!$I$29, A1782), 0)</f>
        <v>1</v>
      </c>
      <c r="C1782">
        <f>IF(B1782&gt;0, MAX($C$2:C1781)+1, "")</f>
        <v>1780</v>
      </c>
      <c r="D1782" t="str">
        <f t="shared" si="27"/>
        <v/>
      </c>
    </row>
    <row r="1783" spans="1:4">
      <c r="A1783" s="42" t="s">
        <v>1845</v>
      </c>
      <c r="B1783">
        <f>IFERROR(FIND('Simulador IR 2025'!$I$29, A1783), 0)</f>
        <v>1</v>
      </c>
      <c r="C1783">
        <f>IF(B1783&gt;0, MAX($C$2:C1782)+1, "")</f>
        <v>1781</v>
      </c>
      <c r="D1783" t="str">
        <f t="shared" si="27"/>
        <v/>
      </c>
    </row>
    <row r="1784" spans="1:4">
      <c r="A1784" s="42" t="s">
        <v>1846</v>
      </c>
      <c r="B1784">
        <f>IFERROR(FIND('Simulador IR 2025'!$I$29, A1784), 0)</f>
        <v>1</v>
      </c>
      <c r="C1784">
        <f>IF(B1784&gt;0, MAX($C$2:C1783)+1, "")</f>
        <v>1782</v>
      </c>
      <c r="D1784" t="str">
        <f t="shared" si="27"/>
        <v/>
      </c>
    </row>
    <row r="1785" spans="1:4">
      <c r="A1785" s="42" t="s">
        <v>1847</v>
      </c>
      <c r="B1785">
        <f>IFERROR(FIND('Simulador IR 2025'!$I$29, A1785), 0)</f>
        <v>1</v>
      </c>
      <c r="C1785">
        <f>IF(B1785&gt;0, MAX($C$2:C1784)+1, "")</f>
        <v>1783</v>
      </c>
      <c r="D1785" t="str">
        <f t="shared" si="27"/>
        <v/>
      </c>
    </row>
    <row r="1786" spans="1:4">
      <c r="A1786" s="42" t="s">
        <v>1848</v>
      </c>
      <c r="B1786">
        <f>IFERROR(FIND('Simulador IR 2025'!$I$29, A1786), 0)</f>
        <v>1</v>
      </c>
      <c r="C1786">
        <f>IF(B1786&gt;0, MAX($C$2:C1785)+1, "")</f>
        <v>1784</v>
      </c>
      <c r="D1786" t="str">
        <f t="shared" si="27"/>
        <v/>
      </c>
    </row>
    <row r="1787" spans="1:4">
      <c r="A1787" s="42" t="s">
        <v>1849</v>
      </c>
      <c r="B1787">
        <f>IFERROR(FIND('Simulador IR 2025'!$I$29, A1787), 0)</f>
        <v>1</v>
      </c>
      <c r="C1787">
        <f>IF(B1787&gt;0, MAX($C$2:C1786)+1, "")</f>
        <v>1785</v>
      </c>
      <c r="D1787" t="str">
        <f t="shared" si="27"/>
        <v/>
      </c>
    </row>
    <row r="1788" spans="1:4">
      <c r="A1788" s="42" t="s">
        <v>1850</v>
      </c>
      <c r="B1788">
        <f>IFERROR(FIND('Simulador IR 2025'!$I$29, A1788), 0)</f>
        <v>1</v>
      </c>
      <c r="C1788">
        <f>IF(B1788&gt;0, MAX($C$2:C1787)+1, "")</f>
        <v>1786</v>
      </c>
      <c r="D1788" t="str">
        <f t="shared" si="27"/>
        <v/>
      </c>
    </row>
    <row r="1789" spans="1:4">
      <c r="A1789" s="42" t="s">
        <v>1851</v>
      </c>
      <c r="B1789">
        <f>IFERROR(FIND('Simulador IR 2025'!$I$29, A1789), 0)</f>
        <v>1</v>
      </c>
      <c r="C1789">
        <f>IF(B1789&gt;0, MAX($C$2:C1788)+1, "")</f>
        <v>1787</v>
      </c>
      <c r="D1789" t="str">
        <f t="shared" si="27"/>
        <v/>
      </c>
    </row>
    <row r="1790" spans="1:4">
      <c r="A1790" s="42" t="s">
        <v>1852</v>
      </c>
      <c r="B1790">
        <f>IFERROR(FIND('Simulador IR 2025'!$I$29, A1790), 0)</f>
        <v>1</v>
      </c>
      <c r="C1790">
        <f>IF(B1790&gt;0, MAX($C$2:C1789)+1, "")</f>
        <v>1788</v>
      </c>
      <c r="D1790" t="str">
        <f t="shared" si="27"/>
        <v/>
      </c>
    </row>
    <row r="1791" spans="1:4">
      <c r="A1791" s="42" t="s">
        <v>1853</v>
      </c>
      <c r="B1791">
        <f>IFERROR(FIND('Simulador IR 2025'!$I$29, A1791), 0)</f>
        <v>1</v>
      </c>
      <c r="C1791">
        <f>IF(B1791&gt;0, MAX($C$2:C1790)+1, "")</f>
        <v>1789</v>
      </c>
      <c r="D1791" t="str">
        <f t="shared" si="27"/>
        <v/>
      </c>
    </row>
    <row r="1792" spans="1:4">
      <c r="A1792" s="42" t="s">
        <v>1854</v>
      </c>
      <c r="B1792">
        <f>IFERROR(FIND('Simulador IR 2025'!$I$29, A1792), 0)</f>
        <v>1</v>
      </c>
      <c r="C1792">
        <f>IF(B1792&gt;0, MAX($C$2:C1791)+1, "")</f>
        <v>1790</v>
      </c>
      <c r="D1792" t="str">
        <f t="shared" si="27"/>
        <v/>
      </c>
    </row>
    <row r="1793" spans="1:4">
      <c r="A1793" s="42" t="s">
        <v>1855</v>
      </c>
      <c r="B1793">
        <f>IFERROR(FIND('Simulador IR 2025'!$I$29, A1793), 0)</f>
        <v>1</v>
      </c>
      <c r="C1793">
        <f>IF(B1793&gt;0, MAX($C$2:C1792)+1, "")</f>
        <v>1791</v>
      </c>
      <c r="D1793" t="str">
        <f t="shared" si="27"/>
        <v/>
      </c>
    </row>
    <row r="1794" spans="1:4">
      <c r="A1794" s="42" t="s">
        <v>1856</v>
      </c>
      <c r="B1794">
        <f>IFERROR(FIND('Simulador IR 2025'!$I$29, A1794), 0)</f>
        <v>1</v>
      </c>
      <c r="C1794">
        <f>IF(B1794&gt;0, MAX($C$2:C1793)+1, "")</f>
        <v>1792</v>
      </c>
      <c r="D1794" t="str">
        <f t="shared" si="27"/>
        <v/>
      </c>
    </row>
    <row r="1795" spans="1:4">
      <c r="A1795" s="42" t="s">
        <v>1857</v>
      </c>
      <c r="B1795">
        <f>IFERROR(FIND('Simulador IR 2025'!$I$29, A1795), 0)</f>
        <v>1</v>
      </c>
      <c r="C1795">
        <f>IF(B1795&gt;0, MAX($C$2:C1794)+1, "")</f>
        <v>1793</v>
      </c>
      <c r="D1795" t="str">
        <f t="shared" si="27"/>
        <v/>
      </c>
    </row>
    <row r="1796" spans="1:4">
      <c r="A1796" s="42" t="s">
        <v>1858</v>
      </c>
      <c r="B1796">
        <f>IFERROR(FIND('Simulador IR 2025'!$I$29, A1796), 0)</f>
        <v>1</v>
      </c>
      <c r="C1796">
        <f>IF(B1796&gt;0, MAX($C$2:C1795)+1, "")</f>
        <v>1794</v>
      </c>
      <c r="D1796" t="str">
        <f t="shared" ref="D1796:D1859" si="28">IFERROR(VLOOKUP(ROW(A1794), $A$3:$C$2681, -2, FALSE), "")</f>
        <v/>
      </c>
    </row>
    <row r="1797" spans="1:4">
      <c r="A1797" s="42" t="s">
        <v>1859</v>
      </c>
      <c r="B1797">
        <f>IFERROR(FIND('Simulador IR 2025'!$I$29, A1797), 0)</f>
        <v>1</v>
      </c>
      <c r="C1797">
        <f>IF(B1797&gt;0, MAX($C$2:C1796)+1, "")</f>
        <v>1795</v>
      </c>
      <c r="D1797" t="str">
        <f t="shared" si="28"/>
        <v/>
      </c>
    </row>
    <row r="1798" spans="1:4">
      <c r="A1798" s="42" t="s">
        <v>1860</v>
      </c>
      <c r="B1798">
        <f>IFERROR(FIND('Simulador IR 2025'!$I$29, A1798), 0)</f>
        <v>1</v>
      </c>
      <c r="C1798">
        <f>IF(B1798&gt;0, MAX($C$2:C1797)+1, "")</f>
        <v>1796</v>
      </c>
      <c r="D1798" t="str">
        <f t="shared" si="28"/>
        <v/>
      </c>
    </row>
    <row r="1799" spans="1:4">
      <c r="A1799" s="42" t="s">
        <v>1861</v>
      </c>
      <c r="B1799">
        <f>IFERROR(FIND('Simulador IR 2025'!$I$29, A1799), 0)</f>
        <v>1</v>
      </c>
      <c r="C1799">
        <f>IF(B1799&gt;0, MAX($C$2:C1798)+1, "")</f>
        <v>1797</v>
      </c>
      <c r="D1799" t="str">
        <f t="shared" si="28"/>
        <v/>
      </c>
    </row>
    <row r="1800" spans="1:4">
      <c r="A1800" s="42" t="s">
        <v>1862</v>
      </c>
      <c r="B1800">
        <f>IFERROR(FIND('Simulador IR 2025'!$I$29, A1800), 0)</f>
        <v>1</v>
      </c>
      <c r="C1800">
        <f>IF(B1800&gt;0, MAX($C$2:C1799)+1, "")</f>
        <v>1798</v>
      </c>
      <c r="D1800" t="str">
        <f t="shared" si="28"/>
        <v/>
      </c>
    </row>
    <row r="1801" spans="1:4">
      <c r="A1801" s="42" t="s">
        <v>1863</v>
      </c>
      <c r="B1801">
        <f>IFERROR(FIND('Simulador IR 2025'!$I$29, A1801), 0)</f>
        <v>1</v>
      </c>
      <c r="C1801">
        <f>IF(B1801&gt;0, MAX($C$2:C1800)+1, "")</f>
        <v>1799</v>
      </c>
      <c r="D1801" t="str">
        <f t="shared" si="28"/>
        <v/>
      </c>
    </row>
    <row r="1802" spans="1:4">
      <c r="A1802" s="42" t="s">
        <v>1864</v>
      </c>
      <c r="B1802">
        <f>IFERROR(FIND('Simulador IR 2025'!$I$29, A1802), 0)</f>
        <v>1</v>
      </c>
      <c r="C1802">
        <f>IF(B1802&gt;0, MAX($C$2:C1801)+1, "")</f>
        <v>1800</v>
      </c>
      <c r="D1802" t="str">
        <f t="shared" si="28"/>
        <v/>
      </c>
    </row>
    <row r="1803" spans="1:4">
      <c r="A1803" s="42" t="s">
        <v>1865</v>
      </c>
      <c r="B1803">
        <f>IFERROR(FIND('Simulador IR 2025'!$I$29, A1803), 0)</f>
        <v>1</v>
      </c>
      <c r="C1803">
        <f>IF(B1803&gt;0, MAX($C$2:C1802)+1, "")</f>
        <v>1801</v>
      </c>
      <c r="D1803" t="str">
        <f t="shared" si="28"/>
        <v/>
      </c>
    </row>
    <row r="1804" spans="1:4">
      <c r="A1804" s="42" t="s">
        <v>1866</v>
      </c>
      <c r="B1804">
        <f>IFERROR(FIND('Simulador IR 2025'!$I$29, A1804), 0)</f>
        <v>1</v>
      </c>
      <c r="C1804">
        <f>IF(B1804&gt;0, MAX($C$2:C1803)+1, "")</f>
        <v>1802</v>
      </c>
      <c r="D1804" t="str">
        <f t="shared" si="28"/>
        <v/>
      </c>
    </row>
    <row r="1805" spans="1:4">
      <c r="A1805" s="42" t="s">
        <v>1867</v>
      </c>
      <c r="B1805">
        <f>IFERROR(FIND('Simulador IR 2025'!$I$29, A1805), 0)</f>
        <v>1</v>
      </c>
      <c r="C1805">
        <f>IF(B1805&gt;0, MAX($C$2:C1804)+1, "")</f>
        <v>1803</v>
      </c>
      <c r="D1805" t="str">
        <f t="shared" si="28"/>
        <v/>
      </c>
    </row>
    <row r="1806" spans="1:4">
      <c r="A1806" s="42" t="s">
        <v>1868</v>
      </c>
      <c r="B1806">
        <f>IFERROR(FIND('Simulador IR 2025'!$I$29, A1806), 0)</f>
        <v>1</v>
      </c>
      <c r="C1806">
        <f>IF(B1806&gt;0, MAX($C$2:C1805)+1, "")</f>
        <v>1804</v>
      </c>
      <c r="D1806" t="str">
        <f t="shared" si="28"/>
        <v/>
      </c>
    </row>
    <row r="1807" spans="1:4">
      <c r="A1807" s="42" t="s">
        <v>1869</v>
      </c>
      <c r="B1807">
        <f>IFERROR(FIND('Simulador IR 2025'!$I$29, A1807), 0)</f>
        <v>1</v>
      </c>
      <c r="C1807">
        <f>IF(B1807&gt;0, MAX($C$2:C1806)+1, "")</f>
        <v>1805</v>
      </c>
      <c r="D1807" t="str">
        <f t="shared" si="28"/>
        <v/>
      </c>
    </row>
    <row r="1808" spans="1:4">
      <c r="A1808" s="42" t="s">
        <v>1870</v>
      </c>
      <c r="B1808">
        <f>IFERROR(FIND('Simulador IR 2025'!$I$29, A1808), 0)</f>
        <v>1</v>
      </c>
      <c r="C1808">
        <f>IF(B1808&gt;0, MAX($C$2:C1807)+1, "")</f>
        <v>1806</v>
      </c>
      <c r="D1808" t="str">
        <f t="shared" si="28"/>
        <v/>
      </c>
    </row>
    <row r="1809" spans="1:4">
      <c r="A1809" s="42" t="s">
        <v>1871</v>
      </c>
      <c r="B1809">
        <f>IFERROR(FIND('Simulador IR 2025'!$I$29, A1809), 0)</f>
        <v>1</v>
      </c>
      <c r="C1809">
        <f>IF(B1809&gt;0, MAX($C$2:C1808)+1, "")</f>
        <v>1807</v>
      </c>
      <c r="D1809" t="str">
        <f t="shared" si="28"/>
        <v/>
      </c>
    </row>
    <row r="1810" spans="1:4">
      <c r="A1810" s="42" t="s">
        <v>1872</v>
      </c>
      <c r="B1810">
        <f>IFERROR(FIND('Simulador IR 2025'!$I$29, A1810), 0)</f>
        <v>1</v>
      </c>
      <c r="C1810">
        <f>IF(B1810&gt;0, MAX($C$2:C1809)+1, "")</f>
        <v>1808</v>
      </c>
      <c r="D1810" t="str">
        <f t="shared" si="28"/>
        <v/>
      </c>
    </row>
    <row r="1811" spans="1:4">
      <c r="A1811" s="42" t="s">
        <v>1873</v>
      </c>
      <c r="B1811">
        <f>IFERROR(FIND('Simulador IR 2025'!$I$29, A1811), 0)</f>
        <v>1</v>
      </c>
      <c r="C1811">
        <f>IF(B1811&gt;0, MAX($C$2:C1810)+1, "")</f>
        <v>1809</v>
      </c>
      <c r="D1811" t="str">
        <f t="shared" si="28"/>
        <v/>
      </c>
    </row>
    <row r="1812" spans="1:4">
      <c r="A1812" s="42" t="s">
        <v>1874</v>
      </c>
      <c r="B1812">
        <f>IFERROR(FIND('Simulador IR 2025'!$I$29, A1812), 0)</f>
        <v>1</v>
      </c>
      <c r="C1812">
        <f>IF(B1812&gt;0, MAX($C$2:C1811)+1, "")</f>
        <v>1810</v>
      </c>
      <c r="D1812" t="str">
        <f t="shared" si="28"/>
        <v/>
      </c>
    </row>
    <row r="1813" spans="1:4">
      <c r="A1813" s="42" t="s">
        <v>1875</v>
      </c>
      <c r="B1813">
        <f>IFERROR(FIND('Simulador IR 2025'!$I$29, A1813), 0)</f>
        <v>1</v>
      </c>
      <c r="C1813">
        <f>IF(B1813&gt;0, MAX($C$2:C1812)+1, "")</f>
        <v>1811</v>
      </c>
      <c r="D1813" t="str">
        <f t="shared" si="28"/>
        <v/>
      </c>
    </row>
    <row r="1814" spans="1:4">
      <c r="A1814" s="42" t="s">
        <v>1876</v>
      </c>
      <c r="B1814">
        <f>IFERROR(FIND('Simulador IR 2025'!$I$29, A1814), 0)</f>
        <v>1</v>
      </c>
      <c r="C1814">
        <f>IF(B1814&gt;0, MAX($C$2:C1813)+1, "")</f>
        <v>1812</v>
      </c>
      <c r="D1814" t="str">
        <f t="shared" si="28"/>
        <v/>
      </c>
    </row>
    <row r="1815" spans="1:4">
      <c r="A1815" s="42" t="s">
        <v>1877</v>
      </c>
      <c r="B1815">
        <f>IFERROR(FIND('Simulador IR 2025'!$I$29, A1815), 0)</f>
        <v>1</v>
      </c>
      <c r="C1815">
        <f>IF(B1815&gt;0, MAX($C$2:C1814)+1, "")</f>
        <v>1813</v>
      </c>
      <c r="D1815" t="str">
        <f t="shared" si="28"/>
        <v/>
      </c>
    </row>
    <row r="1816" spans="1:4">
      <c r="A1816" s="42" t="s">
        <v>1878</v>
      </c>
      <c r="B1816">
        <f>IFERROR(FIND('Simulador IR 2025'!$I$29, A1816), 0)</f>
        <v>1</v>
      </c>
      <c r="C1816">
        <f>IF(B1816&gt;0, MAX($C$2:C1815)+1, "")</f>
        <v>1814</v>
      </c>
      <c r="D1816" t="str">
        <f t="shared" si="28"/>
        <v/>
      </c>
    </row>
    <row r="1817" spans="1:4">
      <c r="A1817" s="42" t="s">
        <v>1879</v>
      </c>
      <c r="B1817">
        <f>IFERROR(FIND('Simulador IR 2025'!$I$29, A1817), 0)</f>
        <v>1</v>
      </c>
      <c r="C1817">
        <f>IF(B1817&gt;0, MAX($C$2:C1816)+1, "")</f>
        <v>1815</v>
      </c>
      <c r="D1817" t="str">
        <f t="shared" si="28"/>
        <v/>
      </c>
    </row>
    <row r="1818" spans="1:4">
      <c r="A1818" s="42" t="s">
        <v>1880</v>
      </c>
      <c r="B1818">
        <f>IFERROR(FIND('Simulador IR 2025'!$I$29, A1818), 0)</f>
        <v>1</v>
      </c>
      <c r="C1818">
        <f>IF(B1818&gt;0, MAX($C$2:C1817)+1, "")</f>
        <v>1816</v>
      </c>
      <c r="D1818" t="str">
        <f t="shared" si="28"/>
        <v/>
      </c>
    </row>
    <row r="1819" spans="1:4">
      <c r="A1819" s="42" t="s">
        <v>1881</v>
      </c>
      <c r="B1819">
        <f>IFERROR(FIND('Simulador IR 2025'!$I$29, A1819), 0)</f>
        <v>1</v>
      </c>
      <c r="C1819">
        <f>IF(B1819&gt;0, MAX($C$2:C1818)+1, "")</f>
        <v>1817</v>
      </c>
      <c r="D1819" t="str">
        <f t="shared" si="28"/>
        <v/>
      </c>
    </row>
    <row r="1820" spans="1:4">
      <c r="A1820" s="42" t="s">
        <v>1882</v>
      </c>
      <c r="B1820">
        <f>IFERROR(FIND('Simulador IR 2025'!$I$29, A1820), 0)</f>
        <v>1</v>
      </c>
      <c r="C1820">
        <f>IF(B1820&gt;0, MAX($C$2:C1819)+1, "")</f>
        <v>1818</v>
      </c>
      <c r="D1820" t="str">
        <f t="shared" si="28"/>
        <v/>
      </c>
    </row>
    <row r="1821" spans="1:4">
      <c r="A1821" s="42" t="s">
        <v>1883</v>
      </c>
      <c r="B1821">
        <f>IFERROR(FIND('Simulador IR 2025'!$I$29, A1821), 0)</f>
        <v>1</v>
      </c>
      <c r="C1821">
        <f>IF(B1821&gt;0, MAX($C$2:C1820)+1, "")</f>
        <v>1819</v>
      </c>
      <c r="D1821" t="str">
        <f t="shared" si="28"/>
        <v/>
      </c>
    </row>
    <row r="1822" spans="1:4">
      <c r="A1822" s="42" t="s">
        <v>1884</v>
      </c>
      <c r="B1822">
        <f>IFERROR(FIND('Simulador IR 2025'!$I$29, A1822), 0)</f>
        <v>1</v>
      </c>
      <c r="C1822">
        <f>IF(B1822&gt;0, MAX($C$2:C1821)+1, "")</f>
        <v>1820</v>
      </c>
      <c r="D1822" t="str">
        <f t="shared" si="28"/>
        <v/>
      </c>
    </row>
    <row r="1823" spans="1:4">
      <c r="A1823" s="42" t="s">
        <v>1885</v>
      </c>
      <c r="B1823">
        <f>IFERROR(FIND('Simulador IR 2025'!$I$29, A1823), 0)</f>
        <v>1</v>
      </c>
      <c r="C1823">
        <f>IF(B1823&gt;0, MAX($C$2:C1822)+1, "")</f>
        <v>1821</v>
      </c>
      <c r="D1823" t="str">
        <f t="shared" si="28"/>
        <v/>
      </c>
    </row>
    <row r="1824" spans="1:4">
      <c r="A1824" s="42" t="s">
        <v>1886</v>
      </c>
      <c r="B1824">
        <f>IFERROR(FIND('Simulador IR 2025'!$I$29, A1824), 0)</f>
        <v>1</v>
      </c>
      <c r="C1824">
        <f>IF(B1824&gt;0, MAX($C$2:C1823)+1, "")</f>
        <v>1822</v>
      </c>
      <c r="D1824" t="str">
        <f t="shared" si="28"/>
        <v/>
      </c>
    </row>
    <row r="1825" spans="1:4">
      <c r="A1825" s="42" t="s">
        <v>1887</v>
      </c>
      <c r="B1825">
        <f>IFERROR(FIND('Simulador IR 2025'!$I$29, A1825), 0)</f>
        <v>1</v>
      </c>
      <c r="C1825">
        <f>IF(B1825&gt;0, MAX($C$2:C1824)+1, "")</f>
        <v>1823</v>
      </c>
      <c r="D1825" t="str">
        <f t="shared" si="28"/>
        <v/>
      </c>
    </row>
    <row r="1826" spans="1:4">
      <c r="A1826" s="42" t="s">
        <v>1888</v>
      </c>
      <c r="B1826">
        <f>IFERROR(FIND('Simulador IR 2025'!$I$29, A1826), 0)</f>
        <v>1</v>
      </c>
      <c r="C1826">
        <f>IF(B1826&gt;0, MAX($C$2:C1825)+1, "")</f>
        <v>1824</v>
      </c>
      <c r="D1826" t="str">
        <f t="shared" si="28"/>
        <v/>
      </c>
    </row>
    <row r="1827" spans="1:4">
      <c r="A1827" s="42" t="s">
        <v>1889</v>
      </c>
      <c r="B1827">
        <f>IFERROR(FIND('Simulador IR 2025'!$I$29, A1827), 0)</f>
        <v>1</v>
      </c>
      <c r="C1827">
        <f>IF(B1827&gt;0, MAX($C$2:C1826)+1, "")</f>
        <v>1825</v>
      </c>
      <c r="D1827" t="str">
        <f t="shared" si="28"/>
        <v/>
      </c>
    </row>
    <row r="1828" spans="1:4">
      <c r="A1828" s="42" t="s">
        <v>1890</v>
      </c>
      <c r="B1828">
        <f>IFERROR(FIND('Simulador IR 2025'!$I$29, A1828), 0)</f>
        <v>1</v>
      </c>
      <c r="C1828">
        <f>IF(B1828&gt;0, MAX($C$2:C1827)+1, "")</f>
        <v>1826</v>
      </c>
      <c r="D1828" t="str">
        <f t="shared" si="28"/>
        <v/>
      </c>
    </row>
    <row r="1829" spans="1:4">
      <c r="A1829" s="42" t="s">
        <v>1891</v>
      </c>
      <c r="B1829">
        <f>IFERROR(FIND('Simulador IR 2025'!$I$29, A1829), 0)</f>
        <v>1</v>
      </c>
      <c r="C1829">
        <f>IF(B1829&gt;0, MAX($C$2:C1828)+1, "")</f>
        <v>1827</v>
      </c>
      <c r="D1829" t="str">
        <f t="shared" si="28"/>
        <v/>
      </c>
    </row>
    <row r="1830" spans="1:4">
      <c r="A1830" s="42" t="s">
        <v>1892</v>
      </c>
      <c r="B1830">
        <f>IFERROR(FIND('Simulador IR 2025'!$I$29, A1830), 0)</f>
        <v>1</v>
      </c>
      <c r="C1830">
        <f>IF(B1830&gt;0, MAX($C$2:C1829)+1, "")</f>
        <v>1828</v>
      </c>
      <c r="D1830" t="str">
        <f t="shared" si="28"/>
        <v/>
      </c>
    </row>
    <row r="1831" spans="1:4">
      <c r="A1831" s="42" t="s">
        <v>1893</v>
      </c>
      <c r="B1831">
        <f>IFERROR(FIND('Simulador IR 2025'!$I$29, A1831), 0)</f>
        <v>1</v>
      </c>
      <c r="C1831">
        <f>IF(B1831&gt;0, MAX($C$2:C1830)+1, "")</f>
        <v>1829</v>
      </c>
      <c r="D1831" t="str">
        <f t="shared" si="28"/>
        <v/>
      </c>
    </row>
    <row r="1832" spans="1:4">
      <c r="A1832" s="42" t="s">
        <v>1894</v>
      </c>
      <c r="B1832">
        <f>IFERROR(FIND('Simulador IR 2025'!$I$29, A1832), 0)</f>
        <v>1</v>
      </c>
      <c r="C1832">
        <f>IF(B1832&gt;0, MAX($C$2:C1831)+1, "")</f>
        <v>1830</v>
      </c>
      <c r="D1832" t="str">
        <f t="shared" si="28"/>
        <v/>
      </c>
    </row>
    <row r="1833" spans="1:4">
      <c r="A1833" s="42" t="s">
        <v>1895</v>
      </c>
      <c r="B1833">
        <f>IFERROR(FIND('Simulador IR 2025'!$I$29, A1833), 0)</f>
        <v>1</v>
      </c>
      <c r="C1833">
        <f>IF(B1833&gt;0, MAX($C$2:C1832)+1, "")</f>
        <v>1831</v>
      </c>
      <c r="D1833" t="str">
        <f t="shared" si="28"/>
        <v/>
      </c>
    </row>
    <row r="1834" spans="1:4">
      <c r="A1834" s="42" t="s">
        <v>1896</v>
      </c>
      <c r="B1834">
        <f>IFERROR(FIND('Simulador IR 2025'!$I$29, A1834), 0)</f>
        <v>1</v>
      </c>
      <c r="C1834">
        <f>IF(B1834&gt;0, MAX($C$2:C1833)+1, "")</f>
        <v>1832</v>
      </c>
      <c r="D1834" t="str">
        <f t="shared" si="28"/>
        <v/>
      </c>
    </row>
    <row r="1835" spans="1:4">
      <c r="A1835" s="42" t="s">
        <v>1897</v>
      </c>
      <c r="B1835">
        <f>IFERROR(FIND('Simulador IR 2025'!$I$29, A1835), 0)</f>
        <v>1</v>
      </c>
      <c r="C1835">
        <f>IF(B1835&gt;0, MAX($C$2:C1834)+1, "")</f>
        <v>1833</v>
      </c>
      <c r="D1835" t="str">
        <f t="shared" si="28"/>
        <v/>
      </c>
    </row>
    <row r="1836" spans="1:4">
      <c r="A1836" s="42" t="s">
        <v>1898</v>
      </c>
      <c r="B1836">
        <f>IFERROR(FIND('Simulador IR 2025'!$I$29, A1836), 0)</f>
        <v>1</v>
      </c>
      <c r="C1836">
        <f>IF(B1836&gt;0, MAX($C$2:C1835)+1, "")</f>
        <v>1834</v>
      </c>
      <c r="D1836" t="str">
        <f t="shared" si="28"/>
        <v/>
      </c>
    </row>
    <row r="1837" spans="1:4">
      <c r="A1837" s="42" t="s">
        <v>1899</v>
      </c>
      <c r="B1837">
        <f>IFERROR(FIND('Simulador IR 2025'!$I$29, A1837), 0)</f>
        <v>1</v>
      </c>
      <c r="C1837">
        <f>IF(B1837&gt;0, MAX($C$2:C1836)+1, "")</f>
        <v>1835</v>
      </c>
      <c r="D1837" t="str">
        <f t="shared" si="28"/>
        <v/>
      </c>
    </row>
    <row r="1838" spans="1:4">
      <c r="A1838" s="42" t="s">
        <v>1900</v>
      </c>
      <c r="B1838">
        <f>IFERROR(FIND('Simulador IR 2025'!$I$29, A1838), 0)</f>
        <v>1</v>
      </c>
      <c r="C1838">
        <f>IF(B1838&gt;0, MAX($C$2:C1837)+1, "")</f>
        <v>1836</v>
      </c>
      <c r="D1838" t="str">
        <f t="shared" si="28"/>
        <v/>
      </c>
    </row>
    <row r="1839" spans="1:4">
      <c r="A1839" s="42" t="s">
        <v>1901</v>
      </c>
      <c r="B1839">
        <f>IFERROR(FIND('Simulador IR 2025'!$I$29, A1839), 0)</f>
        <v>1</v>
      </c>
      <c r="C1839">
        <f>IF(B1839&gt;0, MAX($C$2:C1838)+1, "")</f>
        <v>1837</v>
      </c>
      <c r="D1839" t="str">
        <f t="shared" si="28"/>
        <v/>
      </c>
    </row>
    <row r="1840" spans="1:4">
      <c r="A1840" s="42" t="s">
        <v>1902</v>
      </c>
      <c r="B1840">
        <f>IFERROR(FIND('Simulador IR 2025'!$I$29, A1840), 0)</f>
        <v>1</v>
      </c>
      <c r="C1840">
        <f>IF(B1840&gt;0, MAX($C$2:C1839)+1, "")</f>
        <v>1838</v>
      </c>
      <c r="D1840" t="str">
        <f t="shared" si="28"/>
        <v/>
      </c>
    </row>
    <row r="1841" spans="1:4">
      <c r="A1841" s="42" t="s">
        <v>1903</v>
      </c>
      <c r="B1841">
        <f>IFERROR(FIND('Simulador IR 2025'!$I$29, A1841), 0)</f>
        <v>1</v>
      </c>
      <c r="C1841">
        <f>IF(B1841&gt;0, MAX($C$2:C1840)+1, "")</f>
        <v>1839</v>
      </c>
      <c r="D1841" t="str">
        <f t="shared" si="28"/>
        <v/>
      </c>
    </row>
    <row r="1842" spans="1:4">
      <c r="A1842" s="42" t="s">
        <v>1904</v>
      </c>
      <c r="B1842">
        <f>IFERROR(FIND('Simulador IR 2025'!$I$29, A1842), 0)</f>
        <v>1</v>
      </c>
      <c r="C1842">
        <f>IF(B1842&gt;0, MAX($C$2:C1841)+1, "")</f>
        <v>1840</v>
      </c>
      <c r="D1842" t="str">
        <f t="shared" si="28"/>
        <v/>
      </c>
    </row>
    <row r="1843" spans="1:4">
      <c r="A1843" s="42" t="s">
        <v>1905</v>
      </c>
      <c r="B1843">
        <f>IFERROR(FIND('Simulador IR 2025'!$I$29, A1843), 0)</f>
        <v>1</v>
      </c>
      <c r="C1843">
        <f>IF(B1843&gt;0, MAX($C$2:C1842)+1, "")</f>
        <v>1841</v>
      </c>
      <c r="D1843" t="str">
        <f t="shared" si="28"/>
        <v/>
      </c>
    </row>
    <row r="1844" spans="1:4">
      <c r="A1844" s="42" t="s">
        <v>1906</v>
      </c>
      <c r="B1844">
        <f>IFERROR(FIND('Simulador IR 2025'!$I$29, A1844), 0)</f>
        <v>1</v>
      </c>
      <c r="C1844">
        <f>IF(B1844&gt;0, MAX($C$2:C1843)+1, "")</f>
        <v>1842</v>
      </c>
      <c r="D1844" t="str">
        <f t="shared" si="28"/>
        <v/>
      </c>
    </row>
    <row r="1845" spans="1:4">
      <c r="A1845" s="42" t="s">
        <v>1907</v>
      </c>
      <c r="B1845">
        <f>IFERROR(FIND('Simulador IR 2025'!$I$29, A1845), 0)</f>
        <v>1</v>
      </c>
      <c r="C1845">
        <f>IF(B1845&gt;0, MAX($C$2:C1844)+1, "")</f>
        <v>1843</v>
      </c>
      <c r="D1845" t="str">
        <f t="shared" si="28"/>
        <v/>
      </c>
    </row>
    <row r="1846" spans="1:4">
      <c r="A1846" s="42" t="s">
        <v>1908</v>
      </c>
      <c r="B1846">
        <f>IFERROR(FIND('Simulador IR 2025'!$I$29, A1846), 0)</f>
        <v>1</v>
      </c>
      <c r="C1846">
        <f>IF(B1846&gt;0, MAX($C$2:C1845)+1, "")</f>
        <v>1844</v>
      </c>
      <c r="D1846" t="str">
        <f t="shared" si="28"/>
        <v/>
      </c>
    </row>
    <row r="1847" spans="1:4">
      <c r="A1847" s="42" t="s">
        <v>1909</v>
      </c>
      <c r="B1847">
        <f>IFERROR(FIND('Simulador IR 2025'!$I$29, A1847), 0)</f>
        <v>1</v>
      </c>
      <c r="C1847">
        <f>IF(B1847&gt;0, MAX($C$2:C1846)+1, "")</f>
        <v>1845</v>
      </c>
      <c r="D1847" t="str">
        <f t="shared" si="28"/>
        <v/>
      </c>
    </row>
    <row r="1848" spans="1:4">
      <c r="A1848" s="42" t="s">
        <v>1910</v>
      </c>
      <c r="B1848">
        <f>IFERROR(FIND('Simulador IR 2025'!$I$29, A1848), 0)</f>
        <v>1</v>
      </c>
      <c r="C1848">
        <f>IF(B1848&gt;0, MAX($C$2:C1847)+1, "")</f>
        <v>1846</v>
      </c>
      <c r="D1848" t="str">
        <f t="shared" si="28"/>
        <v/>
      </c>
    </row>
    <row r="1849" spans="1:4">
      <c r="A1849" s="42" t="s">
        <v>1911</v>
      </c>
      <c r="B1849">
        <f>IFERROR(FIND('Simulador IR 2025'!$I$29, A1849), 0)</f>
        <v>1</v>
      </c>
      <c r="C1849">
        <f>IF(B1849&gt;0, MAX($C$2:C1848)+1, "")</f>
        <v>1847</v>
      </c>
      <c r="D1849" t="str">
        <f t="shared" si="28"/>
        <v/>
      </c>
    </row>
    <row r="1850" spans="1:4">
      <c r="A1850" s="42" t="s">
        <v>1912</v>
      </c>
      <c r="B1850">
        <f>IFERROR(FIND('Simulador IR 2025'!$I$29, A1850), 0)</f>
        <v>1</v>
      </c>
      <c r="C1850">
        <f>IF(B1850&gt;0, MAX($C$2:C1849)+1, "")</f>
        <v>1848</v>
      </c>
      <c r="D1850" t="str">
        <f t="shared" si="28"/>
        <v/>
      </c>
    </row>
    <row r="1851" spans="1:4">
      <c r="A1851" s="42" t="s">
        <v>1913</v>
      </c>
      <c r="B1851">
        <f>IFERROR(FIND('Simulador IR 2025'!$I$29, A1851), 0)</f>
        <v>1</v>
      </c>
      <c r="C1851">
        <f>IF(B1851&gt;0, MAX($C$2:C1850)+1, "")</f>
        <v>1849</v>
      </c>
      <c r="D1851" t="str">
        <f t="shared" si="28"/>
        <v/>
      </c>
    </row>
    <row r="1852" spans="1:4">
      <c r="A1852" s="42" t="s">
        <v>1914</v>
      </c>
      <c r="B1852">
        <f>IFERROR(FIND('Simulador IR 2025'!$I$29, A1852), 0)</f>
        <v>1</v>
      </c>
      <c r="C1852">
        <f>IF(B1852&gt;0, MAX($C$2:C1851)+1, "")</f>
        <v>1850</v>
      </c>
      <c r="D1852" t="str">
        <f t="shared" si="28"/>
        <v/>
      </c>
    </row>
    <row r="1853" spans="1:4">
      <c r="A1853" s="42" t="s">
        <v>1915</v>
      </c>
      <c r="B1853">
        <f>IFERROR(FIND('Simulador IR 2025'!$I$29, A1853), 0)</f>
        <v>1</v>
      </c>
      <c r="C1853">
        <f>IF(B1853&gt;0, MAX($C$2:C1852)+1, "")</f>
        <v>1851</v>
      </c>
      <c r="D1853" t="str">
        <f t="shared" si="28"/>
        <v/>
      </c>
    </row>
    <row r="1854" spans="1:4">
      <c r="A1854" s="42" t="s">
        <v>1916</v>
      </c>
      <c r="B1854">
        <f>IFERROR(FIND('Simulador IR 2025'!$I$29, A1854), 0)</f>
        <v>1</v>
      </c>
      <c r="C1854">
        <f>IF(B1854&gt;0, MAX($C$2:C1853)+1, "")</f>
        <v>1852</v>
      </c>
      <c r="D1854" t="str">
        <f t="shared" si="28"/>
        <v/>
      </c>
    </row>
    <row r="1855" spans="1:4">
      <c r="A1855" s="42" t="s">
        <v>1917</v>
      </c>
      <c r="B1855">
        <f>IFERROR(FIND('Simulador IR 2025'!$I$29, A1855), 0)</f>
        <v>1</v>
      </c>
      <c r="C1855">
        <f>IF(B1855&gt;0, MAX($C$2:C1854)+1, "")</f>
        <v>1853</v>
      </c>
      <c r="D1855" t="str">
        <f t="shared" si="28"/>
        <v/>
      </c>
    </row>
    <row r="1856" spans="1:4">
      <c r="A1856" s="42" t="s">
        <v>1918</v>
      </c>
      <c r="B1856">
        <f>IFERROR(FIND('Simulador IR 2025'!$I$29, A1856), 0)</f>
        <v>1</v>
      </c>
      <c r="C1856">
        <f>IF(B1856&gt;0, MAX($C$2:C1855)+1, "")</f>
        <v>1854</v>
      </c>
      <c r="D1856" t="str">
        <f t="shared" si="28"/>
        <v/>
      </c>
    </row>
    <row r="1857" spans="1:4">
      <c r="A1857" s="42" t="s">
        <v>1919</v>
      </c>
      <c r="B1857">
        <f>IFERROR(FIND('Simulador IR 2025'!$I$29, A1857), 0)</f>
        <v>1</v>
      </c>
      <c r="C1857">
        <f>IF(B1857&gt;0, MAX($C$2:C1856)+1, "")</f>
        <v>1855</v>
      </c>
      <c r="D1857" t="str">
        <f t="shared" si="28"/>
        <v/>
      </c>
    </row>
    <row r="1858" spans="1:4">
      <c r="A1858" s="42" t="s">
        <v>1920</v>
      </c>
      <c r="B1858">
        <f>IFERROR(FIND('Simulador IR 2025'!$I$29, A1858), 0)</f>
        <v>1</v>
      </c>
      <c r="C1858">
        <f>IF(B1858&gt;0, MAX($C$2:C1857)+1, "")</f>
        <v>1856</v>
      </c>
      <c r="D1858" t="str">
        <f t="shared" si="28"/>
        <v/>
      </c>
    </row>
    <row r="1859" spans="1:4">
      <c r="A1859" s="42" t="s">
        <v>1921</v>
      </c>
      <c r="B1859">
        <f>IFERROR(FIND('Simulador IR 2025'!$I$29, A1859), 0)</f>
        <v>1</v>
      </c>
      <c r="C1859">
        <f>IF(B1859&gt;0, MAX($C$2:C1858)+1, "")</f>
        <v>1857</v>
      </c>
      <c r="D1859" t="str">
        <f t="shared" si="28"/>
        <v/>
      </c>
    </row>
    <row r="1860" spans="1:4">
      <c r="A1860" s="42" t="s">
        <v>1922</v>
      </c>
      <c r="B1860">
        <f>IFERROR(FIND('Simulador IR 2025'!$I$29, A1860), 0)</f>
        <v>1</v>
      </c>
      <c r="C1860">
        <f>IF(B1860&gt;0, MAX($C$2:C1859)+1, "")</f>
        <v>1858</v>
      </c>
      <c r="D1860" t="str">
        <f t="shared" ref="D1860:D1923" si="29">IFERROR(VLOOKUP(ROW(A1858), $A$3:$C$2681, -2, FALSE), "")</f>
        <v/>
      </c>
    </row>
    <row r="1861" spans="1:4">
      <c r="A1861" s="42" t="s">
        <v>1923</v>
      </c>
      <c r="B1861">
        <f>IFERROR(FIND('Simulador IR 2025'!$I$29, A1861), 0)</f>
        <v>1</v>
      </c>
      <c r="C1861">
        <f>IF(B1861&gt;0, MAX($C$2:C1860)+1, "")</f>
        <v>1859</v>
      </c>
      <c r="D1861" t="str">
        <f t="shared" si="29"/>
        <v/>
      </c>
    </row>
    <row r="1862" spans="1:4">
      <c r="A1862" s="42" t="s">
        <v>1924</v>
      </c>
      <c r="B1862">
        <f>IFERROR(FIND('Simulador IR 2025'!$I$29, A1862), 0)</f>
        <v>1</v>
      </c>
      <c r="C1862">
        <f>IF(B1862&gt;0, MAX($C$2:C1861)+1, "")</f>
        <v>1860</v>
      </c>
      <c r="D1862" t="str">
        <f t="shared" si="29"/>
        <v/>
      </c>
    </row>
    <row r="1863" spans="1:4">
      <c r="A1863" s="42" t="s">
        <v>1925</v>
      </c>
      <c r="B1863">
        <f>IFERROR(FIND('Simulador IR 2025'!$I$29, A1863), 0)</f>
        <v>1</v>
      </c>
      <c r="C1863">
        <f>IF(B1863&gt;0, MAX($C$2:C1862)+1, "")</f>
        <v>1861</v>
      </c>
      <c r="D1863" t="str">
        <f t="shared" si="29"/>
        <v/>
      </c>
    </row>
    <row r="1864" spans="1:4">
      <c r="A1864" s="42" t="s">
        <v>1926</v>
      </c>
      <c r="B1864">
        <f>IFERROR(FIND('Simulador IR 2025'!$I$29, A1864), 0)</f>
        <v>1</v>
      </c>
      <c r="C1864">
        <f>IF(B1864&gt;0, MAX($C$2:C1863)+1, "")</f>
        <v>1862</v>
      </c>
      <c r="D1864" t="str">
        <f t="shared" si="29"/>
        <v/>
      </c>
    </row>
    <row r="1865" spans="1:4">
      <c r="A1865" s="42" t="s">
        <v>1927</v>
      </c>
      <c r="B1865">
        <f>IFERROR(FIND('Simulador IR 2025'!$I$29, A1865), 0)</f>
        <v>1</v>
      </c>
      <c r="C1865">
        <f>IF(B1865&gt;0, MAX($C$2:C1864)+1, "")</f>
        <v>1863</v>
      </c>
      <c r="D1865" t="str">
        <f t="shared" si="29"/>
        <v/>
      </c>
    </row>
    <row r="1866" spans="1:4">
      <c r="A1866" s="42" t="s">
        <v>1928</v>
      </c>
      <c r="B1866">
        <f>IFERROR(FIND('Simulador IR 2025'!$I$29, A1866), 0)</f>
        <v>1</v>
      </c>
      <c r="C1866">
        <f>IF(B1866&gt;0, MAX($C$2:C1865)+1, "")</f>
        <v>1864</v>
      </c>
      <c r="D1866" t="str">
        <f t="shared" si="29"/>
        <v/>
      </c>
    </row>
    <row r="1867" spans="1:4">
      <c r="A1867" s="42" t="s">
        <v>1929</v>
      </c>
      <c r="B1867">
        <f>IFERROR(FIND('Simulador IR 2025'!$I$29, A1867), 0)</f>
        <v>1</v>
      </c>
      <c r="C1867">
        <f>IF(B1867&gt;0, MAX($C$2:C1866)+1, "")</f>
        <v>1865</v>
      </c>
      <c r="D1867" t="str">
        <f t="shared" si="29"/>
        <v/>
      </c>
    </row>
    <row r="1868" spans="1:4">
      <c r="A1868" s="42" t="s">
        <v>1930</v>
      </c>
      <c r="B1868">
        <f>IFERROR(FIND('Simulador IR 2025'!$I$29, A1868), 0)</f>
        <v>1</v>
      </c>
      <c r="C1868">
        <f>IF(B1868&gt;0, MAX($C$2:C1867)+1, "")</f>
        <v>1866</v>
      </c>
      <c r="D1868" t="str">
        <f t="shared" si="29"/>
        <v/>
      </c>
    </row>
    <row r="1869" spans="1:4">
      <c r="A1869" s="42" t="s">
        <v>1931</v>
      </c>
      <c r="B1869">
        <f>IFERROR(FIND('Simulador IR 2025'!$I$29, A1869), 0)</f>
        <v>1</v>
      </c>
      <c r="C1869">
        <f>IF(B1869&gt;0, MAX($C$2:C1868)+1, "")</f>
        <v>1867</v>
      </c>
      <c r="D1869" t="str">
        <f t="shared" si="29"/>
        <v/>
      </c>
    </row>
    <row r="1870" spans="1:4">
      <c r="A1870" s="42" t="s">
        <v>1932</v>
      </c>
      <c r="B1870">
        <f>IFERROR(FIND('Simulador IR 2025'!$I$29, A1870), 0)</f>
        <v>1</v>
      </c>
      <c r="C1870">
        <f>IF(B1870&gt;0, MAX($C$2:C1869)+1, "")</f>
        <v>1868</v>
      </c>
      <c r="D1870" t="str">
        <f t="shared" si="29"/>
        <v/>
      </c>
    </row>
    <row r="1871" spans="1:4">
      <c r="A1871" s="42" t="s">
        <v>1933</v>
      </c>
      <c r="B1871">
        <f>IFERROR(FIND('Simulador IR 2025'!$I$29, A1871), 0)</f>
        <v>1</v>
      </c>
      <c r="C1871">
        <f>IF(B1871&gt;0, MAX($C$2:C1870)+1, "")</f>
        <v>1869</v>
      </c>
      <c r="D1871" t="str">
        <f t="shared" si="29"/>
        <v/>
      </c>
    </row>
    <row r="1872" spans="1:4">
      <c r="A1872" s="42" t="s">
        <v>1934</v>
      </c>
      <c r="B1872">
        <f>IFERROR(FIND('Simulador IR 2025'!$I$29, A1872), 0)</f>
        <v>1</v>
      </c>
      <c r="C1872">
        <f>IF(B1872&gt;0, MAX($C$2:C1871)+1, "")</f>
        <v>1870</v>
      </c>
      <c r="D1872" t="str">
        <f t="shared" si="29"/>
        <v/>
      </c>
    </row>
    <row r="1873" spans="1:4">
      <c r="A1873" s="42" t="s">
        <v>1935</v>
      </c>
      <c r="B1873">
        <f>IFERROR(FIND('Simulador IR 2025'!$I$29, A1873), 0)</f>
        <v>1</v>
      </c>
      <c r="C1873">
        <f>IF(B1873&gt;0, MAX($C$2:C1872)+1, "")</f>
        <v>1871</v>
      </c>
      <c r="D1873" t="str">
        <f t="shared" si="29"/>
        <v/>
      </c>
    </row>
    <row r="1874" spans="1:4">
      <c r="A1874" s="42" t="s">
        <v>1936</v>
      </c>
      <c r="B1874">
        <f>IFERROR(FIND('Simulador IR 2025'!$I$29, A1874), 0)</f>
        <v>1</v>
      </c>
      <c r="C1874">
        <f>IF(B1874&gt;0, MAX($C$2:C1873)+1, "")</f>
        <v>1872</v>
      </c>
      <c r="D1874" t="str">
        <f t="shared" si="29"/>
        <v/>
      </c>
    </row>
    <row r="1875" spans="1:4">
      <c r="A1875" s="42" t="s">
        <v>1937</v>
      </c>
      <c r="B1875">
        <f>IFERROR(FIND('Simulador IR 2025'!$I$29, A1875), 0)</f>
        <v>1</v>
      </c>
      <c r="C1875">
        <f>IF(B1875&gt;0, MAX($C$2:C1874)+1, "")</f>
        <v>1873</v>
      </c>
      <c r="D1875" t="str">
        <f t="shared" si="29"/>
        <v/>
      </c>
    </row>
    <row r="1876" spans="1:4">
      <c r="A1876" s="42" t="s">
        <v>1938</v>
      </c>
      <c r="B1876">
        <f>IFERROR(FIND('Simulador IR 2025'!$I$29, A1876), 0)</f>
        <v>1</v>
      </c>
      <c r="C1876">
        <f>IF(B1876&gt;0, MAX($C$2:C1875)+1, "")</f>
        <v>1874</v>
      </c>
      <c r="D1876" t="str">
        <f t="shared" si="29"/>
        <v/>
      </c>
    </row>
    <row r="1877" spans="1:4">
      <c r="A1877" s="42" t="s">
        <v>1939</v>
      </c>
      <c r="B1877">
        <f>IFERROR(FIND('Simulador IR 2025'!$I$29, A1877), 0)</f>
        <v>1</v>
      </c>
      <c r="C1877">
        <f>IF(B1877&gt;0, MAX($C$2:C1876)+1, "")</f>
        <v>1875</v>
      </c>
      <c r="D1877" t="str">
        <f t="shared" si="29"/>
        <v/>
      </c>
    </row>
    <row r="1878" spans="1:4">
      <c r="A1878" s="42" t="s">
        <v>1940</v>
      </c>
      <c r="B1878">
        <f>IFERROR(FIND('Simulador IR 2025'!$I$29, A1878), 0)</f>
        <v>1</v>
      </c>
      <c r="C1878">
        <f>IF(B1878&gt;0, MAX($C$2:C1877)+1, "")</f>
        <v>1876</v>
      </c>
      <c r="D1878" t="str">
        <f t="shared" si="29"/>
        <v/>
      </c>
    </row>
    <row r="1879" spans="1:4">
      <c r="A1879" s="42" t="s">
        <v>1941</v>
      </c>
      <c r="B1879">
        <f>IFERROR(FIND('Simulador IR 2025'!$I$29, A1879), 0)</f>
        <v>1</v>
      </c>
      <c r="C1879">
        <f>IF(B1879&gt;0, MAX($C$2:C1878)+1, "")</f>
        <v>1877</v>
      </c>
      <c r="D1879" t="str">
        <f t="shared" si="29"/>
        <v/>
      </c>
    </row>
    <row r="1880" spans="1:4">
      <c r="A1880" s="42" t="s">
        <v>1942</v>
      </c>
      <c r="B1880">
        <f>IFERROR(FIND('Simulador IR 2025'!$I$29, A1880), 0)</f>
        <v>1</v>
      </c>
      <c r="C1880">
        <f>IF(B1880&gt;0, MAX($C$2:C1879)+1, "")</f>
        <v>1878</v>
      </c>
      <c r="D1880" t="str">
        <f t="shared" si="29"/>
        <v/>
      </c>
    </row>
    <row r="1881" spans="1:4">
      <c r="A1881" s="42" t="s">
        <v>1943</v>
      </c>
      <c r="B1881">
        <f>IFERROR(FIND('Simulador IR 2025'!$I$29, A1881), 0)</f>
        <v>1</v>
      </c>
      <c r="C1881">
        <f>IF(B1881&gt;0, MAX($C$2:C1880)+1, "")</f>
        <v>1879</v>
      </c>
      <c r="D1881" t="str">
        <f t="shared" si="29"/>
        <v/>
      </c>
    </row>
    <row r="1882" spans="1:4">
      <c r="A1882" s="42" t="s">
        <v>1944</v>
      </c>
      <c r="B1882">
        <f>IFERROR(FIND('Simulador IR 2025'!$I$29, A1882), 0)</f>
        <v>1</v>
      </c>
      <c r="C1882">
        <f>IF(B1882&gt;0, MAX($C$2:C1881)+1, "")</f>
        <v>1880</v>
      </c>
      <c r="D1882" t="str">
        <f t="shared" si="29"/>
        <v/>
      </c>
    </row>
    <row r="1883" spans="1:4">
      <c r="A1883" s="42" t="s">
        <v>1945</v>
      </c>
      <c r="B1883">
        <f>IFERROR(FIND('Simulador IR 2025'!$I$29, A1883), 0)</f>
        <v>1</v>
      </c>
      <c r="C1883">
        <f>IF(B1883&gt;0, MAX($C$2:C1882)+1, "")</f>
        <v>1881</v>
      </c>
      <c r="D1883" t="str">
        <f t="shared" si="29"/>
        <v/>
      </c>
    </row>
    <row r="1884" spans="1:4">
      <c r="A1884" s="42" t="s">
        <v>1946</v>
      </c>
      <c r="B1884">
        <f>IFERROR(FIND('Simulador IR 2025'!$I$29, A1884), 0)</f>
        <v>1</v>
      </c>
      <c r="C1884">
        <f>IF(B1884&gt;0, MAX($C$2:C1883)+1, "")</f>
        <v>1882</v>
      </c>
      <c r="D1884" t="str">
        <f t="shared" si="29"/>
        <v/>
      </c>
    </row>
    <row r="1885" spans="1:4">
      <c r="A1885" s="42" t="s">
        <v>1947</v>
      </c>
      <c r="B1885">
        <f>IFERROR(FIND('Simulador IR 2025'!$I$29, A1885), 0)</f>
        <v>1</v>
      </c>
      <c r="C1885">
        <f>IF(B1885&gt;0, MAX($C$2:C1884)+1, "")</f>
        <v>1883</v>
      </c>
      <c r="D1885" t="str">
        <f t="shared" si="29"/>
        <v/>
      </c>
    </row>
    <row r="1886" spans="1:4">
      <c r="A1886" s="42" t="s">
        <v>1948</v>
      </c>
      <c r="B1886">
        <f>IFERROR(FIND('Simulador IR 2025'!$I$29, A1886), 0)</f>
        <v>1</v>
      </c>
      <c r="C1886">
        <f>IF(B1886&gt;0, MAX($C$2:C1885)+1, "")</f>
        <v>1884</v>
      </c>
      <c r="D1886" t="str">
        <f t="shared" si="29"/>
        <v/>
      </c>
    </row>
    <row r="1887" spans="1:4">
      <c r="A1887" s="42" t="s">
        <v>1949</v>
      </c>
      <c r="B1887">
        <f>IFERROR(FIND('Simulador IR 2025'!$I$29, A1887), 0)</f>
        <v>1</v>
      </c>
      <c r="C1887">
        <f>IF(B1887&gt;0, MAX($C$2:C1886)+1, "")</f>
        <v>1885</v>
      </c>
      <c r="D1887" t="str">
        <f t="shared" si="29"/>
        <v/>
      </c>
    </row>
    <row r="1888" spans="1:4">
      <c r="A1888" s="42" t="s">
        <v>1950</v>
      </c>
      <c r="B1888">
        <f>IFERROR(FIND('Simulador IR 2025'!$I$29, A1888), 0)</f>
        <v>1</v>
      </c>
      <c r="C1888">
        <f>IF(B1888&gt;0, MAX($C$2:C1887)+1, "")</f>
        <v>1886</v>
      </c>
      <c r="D1888" t="str">
        <f t="shared" si="29"/>
        <v/>
      </c>
    </row>
    <row r="1889" spans="1:4">
      <c r="A1889" s="42" t="s">
        <v>1951</v>
      </c>
      <c r="B1889">
        <f>IFERROR(FIND('Simulador IR 2025'!$I$29, A1889), 0)</f>
        <v>1</v>
      </c>
      <c r="C1889">
        <f>IF(B1889&gt;0, MAX($C$2:C1888)+1, "")</f>
        <v>1887</v>
      </c>
      <c r="D1889" t="str">
        <f t="shared" si="29"/>
        <v/>
      </c>
    </row>
    <row r="1890" spans="1:4">
      <c r="A1890" s="42" t="s">
        <v>1952</v>
      </c>
      <c r="B1890">
        <f>IFERROR(FIND('Simulador IR 2025'!$I$29, A1890), 0)</f>
        <v>1</v>
      </c>
      <c r="C1890">
        <f>IF(B1890&gt;0, MAX($C$2:C1889)+1, "")</f>
        <v>1888</v>
      </c>
      <c r="D1890" t="str">
        <f t="shared" si="29"/>
        <v/>
      </c>
    </row>
    <row r="1891" spans="1:4">
      <c r="A1891" s="42" t="s">
        <v>1953</v>
      </c>
      <c r="B1891">
        <f>IFERROR(FIND('Simulador IR 2025'!$I$29, A1891), 0)</f>
        <v>1</v>
      </c>
      <c r="C1891">
        <f>IF(B1891&gt;0, MAX($C$2:C1890)+1, "")</f>
        <v>1889</v>
      </c>
      <c r="D1891" t="str">
        <f t="shared" si="29"/>
        <v/>
      </c>
    </row>
    <row r="1892" spans="1:4">
      <c r="A1892" s="42" t="s">
        <v>1954</v>
      </c>
      <c r="B1892">
        <f>IFERROR(FIND('Simulador IR 2025'!$I$29, A1892), 0)</f>
        <v>1</v>
      </c>
      <c r="C1892">
        <f>IF(B1892&gt;0, MAX($C$2:C1891)+1, "")</f>
        <v>1890</v>
      </c>
      <c r="D1892" t="str">
        <f t="shared" si="29"/>
        <v/>
      </c>
    </row>
    <row r="1893" spans="1:4">
      <c r="A1893" s="42" t="s">
        <v>1955</v>
      </c>
      <c r="B1893">
        <f>IFERROR(FIND('Simulador IR 2025'!$I$29, A1893), 0)</f>
        <v>1</v>
      </c>
      <c r="C1893">
        <f>IF(B1893&gt;0, MAX($C$2:C1892)+1, "")</f>
        <v>1891</v>
      </c>
      <c r="D1893" t="str">
        <f t="shared" si="29"/>
        <v/>
      </c>
    </row>
    <row r="1894" spans="1:4">
      <c r="A1894" s="42" t="s">
        <v>1956</v>
      </c>
      <c r="B1894">
        <f>IFERROR(FIND('Simulador IR 2025'!$I$29, A1894), 0)</f>
        <v>1</v>
      </c>
      <c r="C1894">
        <f>IF(B1894&gt;0, MAX($C$2:C1893)+1, "")</f>
        <v>1892</v>
      </c>
      <c r="D1894" t="str">
        <f t="shared" si="29"/>
        <v/>
      </c>
    </row>
    <row r="1895" spans="1:4">
      <c r="A1895" s="42" t="s">
        <v>1957</v>
      </c>
      <c r="B1895">
        <f>IFERROR(FIND('Simulador IR 2025'!$I$29, A1895), 0)</f>
        <v>1</v>
      </c>
      <c r="C1895">
        <f>IF(B1895&gt;0, MAX($C$2:C1894)+1, "")</f>
        <v>1893</v>
      </c>
      <c r="D1895" t="str">
        <f t="shared" si="29"/>
        <v/>
      </c>
    </row>
    <row r="1896" spans="1:4">
      <c r="A1896" s="42" t="s">
        <v>1958</v>
      </c>
      <c r="B1896">
        <f>IFERROR(FIND('Simulador IR 2025'!$I$29, A1896), 0)</f>
        <v>1</v>
      </c>
      <c r="C1896">
        <f>IF(B1896&gt;0, MAX($C$2:C1895)+1, "")</f>
        <v>1894</v>
      </c>
      <c r="D1896" t="str">
        <f t="shared" si="29"/>
        <v/>
      </c>
    </row>
    <row r="1897" spans="1:4">
      <c r="A1897" s="42" t="s">
        <v>1959</v>
      </c>
      <c r="B1897">
        <f>IFERROR(FIND('Simulador IR 2025'!$I$29, A1897), 0)</f>
        <v>1</v>
      </c>
      <c r="C1897">
        <f>IF(B1897&gt;0, MAX($C$2:C1896)+1, "")</f>
        <v>1895</v>
      </c>
      <c r="D1897" t="str">
        <f t="shared" si="29"/>
        <v/>
      </c>
    </row>
    <row r="1898" spans="1:4">
      <c r="A1898" s="42" t="s">
        <v>1960</v>
      </c>
      <c r="B1898">
        <f>IFERROR(FIND('Simulador IR 2025'!$I$29, A1898), 0)</f>
        <v>1</v>
      </c>
      <c r="C1898">
        <f>IF(B1898&gt;0, MAX($C$2:C1897)+1, "")</f>
        <v>1896</v>
      </c>
      <c r="D1898" t="str">
        <f t="shared" si="29"/>
        <v/>
      </c>
    </row>
    <row r="1899" spans="1:4">
      <c r="A1899" s="42" t="s">
        <v>1961</v>
      </c>
      <c r="B1899">
        <f>IFERROR(FIND('Simulador IR 2025'!$I$29, A1899), 0)</f>
        <v>1</v>
      </c>
      <c r="C1899">
        <f>IF(B1899&gt;0, MAX($C$2:C1898)+1, "")</f>
        <v>1897</v>
      </c>
      <c r="D1899" t="str">
        <f t="shared" si="29"/>
        <v/>
      </c>
    </row>
    <row r="1900" spans="1:4">
      <c r="A1900" s="42" t="s">
        <v>1962</v>
      </c>
      <c r="B1900">
        <f>IFERROR(FIND('Simulador IR 2025'!$I$29, A1900), 0)</f>
        <v>1</v>
      </c>
      <c r="C1900">
        <f>IF(B1900&gt;0, MAX($C$2:C1899)+1, "")</f>
        <v>1898</v>
      </c>
      <c r="D1900" t="str">
        <f t="shared" si="29"/>
        <v/>
      </c>
    </row>
    <row r="1901" spans="1:4">
      <c r="A1901" s="42" t="s">
        <v>1963</v>
      </c>
      <c r="B1901">
        <f>IFERROR(FIND('Simulador IR 2025'!$I$29, A1901), 0)</f>
        <v>1</v>
      </c>
      <c r="C1901">
        <f>IF(B1901&gt;0, MAX($C$2:C1900)+1, "")</f>
        <v>1899</v>
      </c>
      <c r="D1901" t="str">
        <f t="shared" si="29"/>
        <v/>
      </c>
    </row>
    <row r="1902" spans="1:4">
      <c r="A1902" s="42" t="s">
        <v>1964</v>
      </c>
      <c r="B1902">
        <f>IFERROR(FIND('Simulador IR 2025'!$I$29, A1902), 0)</f>
        <v>1</v>
      </c>
      <c r="C1902">
        <f>IF(B1902&gt;0, MAX($C$2:C1901)+1, "")</f>
        <v>1900</v>
      </c>
      <c r="D1902" t="str">
        <f t="shared" si="29"/>
        <v/>
      </c>
    </row>
    <row r="1903" spans="1:4">
      <c r="A1903" s="42" t="s">
        <v>1965</v>
      </c>
      <c r="B1903">
        <f>IFERROR(FIND('Simulador IR 2025'!$I$29, A1903), 0)</f>
        <v>1</v>
      </c>
      <c r="C1903">
        <f>IF(B1903&gt;0, MAX($C$2:C1902)+1, "")</f>
        <v>1901</v>
      </c>
      <c r="D1903" t="str">
        <f t="shared" si="29"/>
        <v/>
      </c>
    </row>
    <row r="1904" spans="1:4">
      <c r="A1904" s="42" t="s">
        <v>1966</v>
      </c>
      <c r="B1904">
        <f>IFERROR(FIND('Simulador IR 2025'!$I$29, A1904), 0)</f>
        <v>1</v>
      </c>
      <c r="C1904">
        <f>IF(B1904&gt;0, MAX($C$2:C1903)+1, "")</f>
        <v>1902</v>
      </c>
      <c r="D1904" t="str">
        <f t="shared" si="29"/>
        <v/>
      </c>
    </row>
    <row r="1905" spans="1:4">
      <c r="A1905" s="42" t="s">
        <v>1967</v>
      </c>
      <c r="B1905">
        <f>IFERROR(FIND('Simulador IR 2025'!$I$29, A1905), 0)</f>
        <v>1</v>
      </c>
      <c r="C1905">
        <f>IF(B1905&gt;0, MAX($C$2:C1904)+1, "")</f>
        <v>1903</v>
      </c>
      <c r="D1905" t="str">
        <f t="shared" si="29"/>
        <v/>
      </c>
    </row>
    <row r="1906" spans="1:4">
      <c r="A1906" s="42" t="s">
        <v>1968</v>
      </c>
      <c r="B1906">
        <f>IFERROR(FIND('Simulador IR 2025'!$I$29, A1906), 0)</f>
        <v>1</v>
      </c>
      <c r="C1906">
        <f>IF(B1906&gt;0, MAX($C$2:C1905)+1, "")</f>
        <v>1904</v>
      </c>
      <c r="D1906" t="str">
        <f t="shared" si="29"/>
        <v/>
      </c>
    </row>
    <row r="1907" spans="1:4">
      <c r="A1907" s="42" t="s">
        <v>1969</v>
      </c>
      <c r="B1907">
        <f>IFERROR(FIND('Simulador IR 2025'!$I$29, A1907), 0)</f>
        <v>1</v>
      </c>
      <c r="C1907">
        <f>IF(B1907&gt;0, MAX($C$2:C1906)+1, "")</f>
        <v>1905</v>
      </c>
      <c r="D1907" t="str">
        <f t="shared" si="29"/>
        <v/>
      </c>
    </row>
    <row r="1908" spans="1:4">
      <c r="A1908" s="42" t="s">
        <v>1970</v>
      </c>
      <c r="B1908">
        <f>IFERROR(FIND('Simulador IR 2025'!$I$29, A1908), 0)</f>
        <v>1</v>
      </c>
      <c r="C1908">
        <f>IF(B1908&gt;0, MAX($C$2:C1907)+1, "")</f>
        <v>1906</v>
      </c>
      <c r="D1908" t="str">
        <f t="shared" si="29"/>
        <v/>
      </c>
    </row>
    <row r="1909" spans="1:4">
      <c r="A1909" s="42" t="s">
        <v>1971</v>
      </c>
      <c r="B1909">
        <f>IFERROR(FIND('Simulador IR 2025'!$I$29, A1909), 0)</f>
        <v>1</v>
      </c>
      <c r="C1909">
        <f>IF(B1909&gt;0, MAX($C$2:C1908)+1, "")</f>
        <v>1907</v>
      </c>
      <c r="D1909" t="str">
        <f t="shared" si="29"/>
        <v/>
      </c>
    </row>
    <row r="1910" spans="1:4">
      <c r="A1910" s="42" t="s">
        <v>1972</v>
      </c>
      <c r="B1910">
        <f>IFERROR(FIND('Simulador IR 2025'!$I$29, A1910), 0)</f>
        <v>1</v>
      </c>
      <c r="C1910">
        <f>IF(B1910&gt;0, MAX($C$2:C1909)+1, "")</f>
        <v>1908</v>
      </c>
      <c r="D1910" t="str">
        <f t="shared" si="29"/>
        <v/>
      </c>
    </row>
    <row r="1911" spans="1:4">
      <c r="A1911" s="42" t="s">
        <v>1973</v>
      </c>
      <c r="B1911">
        <f>IFERROR(FIND('Simulador IR 2025'!$I$29, A1911), 0)</f>
        <v>1</v>
      </c>
      <c r="C1911">
        <f>IF(B1911&gt;0, MAX($C$2:C1910)+1, "")</f>
        <v>1909</v>
      </c>
      <c r="D1911" t="str">
        <f t="shared" si="29"/>
        <v/>
      </c>
    </row>
    <row r="1912" spans="1:4">
      <c r="A1912" s="42" t="s">
        <v>1974</v>
      </c>
      <c r="B1912">
        <f>IFERROR(FIND('Simulador IR 2025'!$I$29, A1912), 0)</f>
        <v>1</v>
      </c>
      <c r="C1912">
        <f>IF(B1912&gt;0, MAX($C$2:C1911)+1, "")</f>
        <v>1910</v>
      </c>
      <c r="D1912" t="str">
        <f t="shared" si="29"/>
        <v/>
      </c>
    </row>
    <row r="1913" spans="1:4">
      <c r="A1913" s="42" t="s">
        <v>1975</v>
      </c>
      <c r="B1913">
        <f>IFERROR(FIND('Simulador IR 2025'!$I$29, A1913), 0)</f>
        <v>1</v>
      </c>
      <c r="C1913">
        <f>IF(B1913&gt;0, MAX($C$2:C1912)+1, "")</f>
        <v>1911</v>
      </c>
      <c r="D1913" t="str">
        <f t="shared" si="29"/>
        <v/>
      </c>
    </row>
    <row r="1914" spans="1:4">
      <c r="A1914" s="42" t="s">
        <v>1976</v>
      </c>
      <c r="B1914">
        <f>IFERROR(FIND('Simulador IR 2025'!$I$29, A1914), 0)</f>
        <v>1</v>
      </c>
      <c r="C1914">
        <f>IF(B1914&gt;0, MAX($C$2:C1913)+1, "")</f>
        <v>1912</v>
      </c>
      <c r="D1914" t="str">
        <f t="shared" si="29"/>
        <v/>
      </c>
    </row>
    <row r="1915" spans="1:4">
      <c r="A1915" s="42" t="s">
        <v>1977</v>
      </c>
      <c r="B1915">
        <f>IFERROR(FIND('Simulador IR 2025'!$I$29, A1915), 0)</f>
        <v>1</v>
      </c>
      <c r="C1915">
        <f>IF(B1915&gt;0, MAX($C$2:C1914)+1, "")</f>
        <v>1913</v>
      </c>
      <c r="D1915" t="str">
        <f t="shared" si="29"/>
        <v/>
      </c>
    </row>
    <row r="1916" spans="1:4">
      <c r="A1916" s="42" t="s">
        <v>1978</v>
      </c>
      <c r="B1916">
        <f>IFERROR(FIND('Simulador IR 2025'!$I$29, A1916), 0)</f>
        <v>1</v>
      </c>
      <c r="C1916">
        <f>IF(B1916&gt;0, MAX($C$2:C1915)+1, "")</f>
        <v>1914</v>
      </c>
      <c r="D1916" t="str">
        <f t="shared" si="29"/>
        <v/>
      </c>
    </row>
    <row r="1917" spans="1:4">
      <c r="A1917" s="42" t="s">
        <v>1979</v>
      </c>
      <c r="B1917">
        <f>IFERROR(FIND('Simulador IR 2025'!$I$29, A1917), 0)</f>
        <v>1</v>
      </c>
      <c r="C1917">
        <f>IF(B1917&gt;0, MAX($C$2:C1916)+1, "")</f>
        <v>1915</v>
      </c>
      <c r="D1917" t="str">
        <f t="shared" si="29"/>
        <v/>
      </c>
    </row>
    <row r="1918" spans="1:4">
      <c r="A1918" s="42" t="s">
        <v>1980</v>
      </c>
      <c r="B1918">
        <f>IFERROR(FIND('Simulador IR 2025'!$I$29, A1918), 0)</f>
        <v>1</v>
      </c>
      <c r="C1918">
        <f>IF(B1918&gt;0, MAX($C$2:C1917)+1, "")</f>
        <v>1916</v>
      </c>
      <c r="D1918" t="str">
        <f t="shared" si="29"/>
        <v/>
      </c>
    </row>
    <row r="1919" spans="1:4">
      <c r="A1919" s="42" t="s">
        <v>1981</v>
      </c>
      <c r="B1919">
        <f>IFERROR(FIND('Simulador IR 2025'!$I$29, A1919), 0)</f>
        <v>1</v>
      </c>
      <c r="C1919">
        <f>IF(B1919&gt;0, MAX($C$2:C1918)+1, "")</f>
        <v>1917</v>
      </c>
      <c r="D1919" t="str">
        <f t="shared" si="29"/>
        <v/>
      </c>
    </row>
    <row r="1920" spans="1:4">
      <c r="A1920" s="42" t="s">
        <v>1982</v>
      </c>
      <c r="B1920">
        <f>IFERROR(FIND('Simulador IR 2025'!$I$29, A1920), 0)</f>
        <v>1</v>
      </c>
      <c r="C1920">
        <f>IF(B1920&gt;0, MAX($C$2:C1919)+1, "")</f>
        <v>1918</v>
      </c>
      <c r="D1920" t="str">
        <f t="shared" si="29"/>
        <v/>
      </c>
    </row>
    <row r="1921" spans="1:4">
      <c r="A1921" s="42" t="s">
        <v>1983</v>
      </c>
      <c r="B1921">
        <f>IFERROR(FIND('Simulador IR 2025'!$I$29, A1921), 0)</f>
        <v>1</v>
      </c>
      <c r="C1921">
        <f>IF(B1921&gt;0, MAX($C$2:C1920)+1, "")</f>
        <v>1919</v>
      </c>
      <c r="D1921" t="str">
        <f t="shared" si="29"/>
        <v/>
      </c>
    </row>
    <row r="1922" spans="1:4">
      <c r="A1922" s="42" t="s">
        <v>1984</v>
      </c>
      <c r="B1922">
        <f>IFERROR(FIND('Simulador IR 2025'!$I$29, A1922), 0)</f>
        <v>1</v>
      </c>
      <c r="C1922">
        <f>IF(B1922&gt;0, MAX($C$2:C1921)+1, "")</f>
        <v>1920</v>
      </c>
      <c r="D1922" t="str">
        <f t="shared" si="29"/>
        <v/>
      </c>
    </row>
    <row r="1923" spans="1:4">
      <c r="A1923" s="42" t="s">
        <v>1985</v>
      </c>
      <c r="B1923">
        <f>IFERROR(FIND('Simulador IR 2025'!$I$29, A1923), 0)</f>
        <v>1</v>
      </c>
      <c r="C1923">
        <f>IF(B1923&gt;0, MAX($C$2:C1922)+1, "")</f>
        <v>1921</v>
      </c>
      <c r="D1923" t="str">
        <f t="shared" si="29"/>
        <v/>
      </c>
    </row>
    <row r="1924" spans="1:4">
      <c r="A1924" s="42" t="s">
        <v>1986</v>
      </c>
      <c r="B1924">
        <f>IFERROR(FIND('Simulador IR 2025'!$I$29, A1924), 0)</f>
        <v>1</v>
      </c>
      <c r="C1924">
        <f>IF(B1924&gt;0, MAX($C$2:C1923)+1, "")</f>
        <v>1922</v>
      </c>
      <c r="D1924" t="str">
        <f t="shared" ref="D1924:D1987" si="30">IFERROR(VLOOKUP(ROW(A1922), $A$3:$C$2681, -2, FALSE), "")</f>
        <v/>
      </c>
    </row>
    <row r="1925" spans="1:4">
      <c r="A1925" s="42" t="s">
        <v>1987</v>
      </c>
      <c r="B1925">
        <f>IFERROR(FIND('Simulador IR 2025'!$I$29, A1925), 0)</f>
        <v>1</v>
      </c>
      <c r="C1925">
        <f>IF(B1925&gt;0, MAX($C$2:C1924)+1, "")</f>
        <v>1923</v>
      </c>
      <c r="D1925" t="str">
        <f t="shared" si="30"/>
        <v/>
      </c>
    </row>
    <row r="1926" spans="1:4">
      <c r="A1926" s="42" t="s">
        <v>1988</v>
      </c>
      <c r="B1926">
        <f>IFERROR(FIND('Simulador IR 2025'!$I$29, A1926), 0)</f>
        <v>1</v>
      </c>
      <c r="C1926">
        <f>IF(B1926&gt;0, MAX($C$2:C1925)+1, "")</f>
        <v>1924</v>
      </c>
      <c r="D1926" t="str">
        <f t="shared" si="30"/>
        <v/>
      </c>
    </row>
    <row r="1927" spans="1:4">
      <c r="A1927" s="42" t="s">
        <v>1989</v>
      </c>
      <c r="B1927">
        <f>IFERROR(FIND('Simulador IR 2025'!$I$29, A1927), 0)</f>
        <v>1</v>
      </c>
      <c r="C1927">
        <f>IF(B1927&gt;0, MAX($C$2:C1926)+1, "")</f>
        <v>1925</v>
      </c>
      <c r="D1927" t="str">
        <f t="shared" si="30"/>
        <v/>
      </c>
    </row>
    <row r="1928" spans="1:4">
      <c r="A1928" s="42" t="s">
        <v>1990</v>
      </c>
      <c r="B1928">
        <f>IFERROR(FIND('Simulador IR 2025'!$I$29, A1928), 0)</f>
        <v>1</v>
      </c>
      <c r="C1928">
        <f>IF(B1928&gt;0, MAX($C$2:C1927)+1, "")</f>
        <v>1926</v>
      </c>
      <c r="D1928" t="str">
        <f t="shared" si="30"/>
        <v/>
      </c>
    </row>
    <row r="1929" spans="1:4">
      <c r="A1929" s="42" t="s">
        <v>1991</v>
      </c>
      <c r="B1929">
        <f>IFERROR(FIND('Simulador IR 2025'!$I$29, A1929), 0)</f>
        <v>1</v>
      </c>
      <c r="C1929">
        <f>IF(B1929&gt;0, MAX($C$2:C1928)+1, "")</f>
        <v>1927</v>
      </c>
      <c r="D1929" t="str">
        <f t="shared" si="30"/>
        <v/>
      </c>
    </row>
    <row r="1930" spans="1:4">
      <c r="A1930" s="42" t="s">
        <v>1992</v>
      </c>
      <c r="B1930">
        <f>IFERROR(FIND('Simulador IR 2025'!$I$29, A1930), 0)</f>
        <v>1</v>
      </c>
      <c r="C1930">
        <f>IF(B1930&gt;0, MAX($C$2:C1929)+1, "")</f>
        <v>1928</v>
      </c>
      <c r="D1930" t="str">
        <f t="shared" si="30"/>
        <v/>
      </c>
    </row>
    <row r="1931" spans="1:4">
      <c r="A1931" s="42" t="s">
        <v>1993</v>
      </c>
      <c r="B1931">
        <f>IFERROR(FIND('Simulador IR 2025'!$I$29, A1931), 0)</f>
        <v>1</v>
      </c>
      <c r="C1931">
        <f>IF(B1931&gt;0, MAX($C$2:C1930)+1, "")</f>
        <v>1929</v>
      </c>
      <c r="D1931" t="str">
        <f t="shared" si="30"/>
        <v/>
      </c>
    </row>
    <row r="1932" spans="1:4">
      <c r="A1932" s="42" t="s">
        <v>1994</v>
      </c>
      <c r="B1932">
        <f>IFERROR(FIND('Simulador IR 2025'!$I$29, A1932), 0)</f>
        <v>1</v>
      </c>
      <c r="C1932">
        <f>IF(B1932&gt;0, MAX($C$2:C1931)+1, "")</f>
        <v>1930</v>
      </c>
      <c r="D1932" t="str">
        <f t="shared" si="30"/>
        <v/>
      </c>
    </row>
    <row r="1933" spans="1:4">
      <c r="A1933" s="42" t="s">
        <v>1995</v>
      </c>
      <c r="B1933">
        <f>IFERROR(FIND('Simulador IR 2025'!$I$29, A1933), 0)</f>
        <v>1</v>
      </c>
      <c r="C1933">
        <f>IF(B1933&gt;0, MAX($C$2:C1932)+1, "")</f>
        <v>1931</v>
      </c>
      <c r="D1933" t="str">
        <f t="shared" si="30"/>
        <v/>
      </c>
    </row>
    <row r="1934" spans="1:4">
      <c r="A1934" s="42" t="s">
        <v>1996</v>
      </c>
      <c r="B1934">
        <f>IFERROR(FIND('Simulador IR 2025'!$I$29, A1934), 0)</f>
        <v>1</v>
      </c>
      <c r="C1934">
        <f>IF(B1934&gt;0, MAX($C$2:C1933)+1, "")</f>
        <v>1932</v>
      </c>
      <c r="D1934" t="str">
        <f t="shared" si="30"/>
        <v/>
      </c>
    </row>
    <row r="1935" spans="1:4">
      <c r="A1935" s="42" t="s">
        <v>1997</v>
      </c>
      <c r="B1935">
        <f>IFERROR(FIND('Simulador IR 2025'!$I$29, A1935), 0)</f>
        <v>1</v>
      </c>
      <c r="C1935">
        <f>IF(B1935&gt;0, MAX($C$2:C1934)+1, "")</f>
        <v>1933</v>
      </c>
      <c r="D1935" t="str">
        <f t="shared" si="30"/>
        <v/>
      </c>
    </row>
    <row r="1936" spans="1:4">
      <c r="A1936" s="42" t="s">
        <v>1998</v>
      </c>
      <c r="B1936">
        <f>IFERROR(FIND('Simulador IR 2025'!$I$29, A1936), 0)</f>
        <v>1</v>
      </c>
      <c r="C1936">
        <f>IF(B1936&gt;0, MAX($C$2:C1935)+1, "")</f>
        <v>1934</v>
      </c>
      <c r="D1936" t="str">
        <f t="shared" si="30"/>
        <v/>
      </c>
    </row>
    <row r="1937" spans="1:4">
      <c r="A1937" s="42" t="s">
        <v>1999</v>
      </c>
      <c r="B1937">
        <f>IFERROR(FIND('Simulador IR 2025'!$I$29, A1937), 0)</f>
        <v>1</v>
      </c>
      <c r="C1937">
        <f>IF(B1937&gt;0, MAX($C$2:C1936)+1, "")</f>
        <v>1935</v>
      </c>
      <c r="D1937" t="str">
        <f t="shared" si="30"/>
        <v/>
      </c>
    </row>
    <row r="1938" spans="1:4">
      <c r="A1938" s="42" t="s">
        <v>2000</v>
      </c>
      <c r="B1938">
        <f>IFERROR(FIND('Simulador IR 2025'!$I$29, A1938), 0)</f>
        <v>1</v>
      </c>
      <c r="C1938">
        <f>IF(B1938&gt;0, MAX($C$2:C1937)+1, "")</f>
        <v>1936</v>
      </c>
      <c r="D1938" t="str">
        <f t="shared" si="30"/>
        <v/>
      </c>
    </row>
    <row r="1939" spans="1:4">
      <c r="A1939" s="42" t="s">
        <v>2001</v>
      </c>
      <c r="B1939">
        <f>IFERROR(FIND('Simulador IR 2025'!$I$29, A1939), 0)</f>
        <v>1</v>
      </c>
      <c r="C1939">
        <f>IF(B1939&gt;0, MAX($C$2:C1938)+1, "")</f>
        <v>1937</v>
      </c>
      <c r="D1939" t="str">
        <f t="shared" si="30"/>
        <v/>
      </c>
    </row>
    <row r="1940" spans="1:4">
      <c r="A1940" s="42" t="s">
        <v>2002</v>
      </c>
      <c r="B1940">
        <f>IFERROR(FIND('Simulador IR 2025'!$I$29, A1940), 0)</f>
        <v>1</v>
      </c>
      <c r="C1940">
        <f>IF(B1940&gt;0, MAX($C$2:C1939)+1, "")</f>
        <v>1938</v>
      </c>
      <c r="D1940" t="str">
        <f t="shared" si="30"/>
        <v/>
      </c>
    </row>
    <row r="1941" spans="1:4">
      <c r="A1941" s="42" t="s">
        <v>2003</v>
      </c>
      <c r="B1941">
        <f>IFERROR(FIND('Simulador IR 2025'!$I$29, A1941), 0)</f>
        <v>1</v>
      </c>
      <c r="C1941">
        <f>IF(B1941&gt;0, MAX($C$2:C1940)+1, "")</f>
        <v>1939</v>
      </c>
      <c r="D1941" t="str">
        <f t="shared" si="30"/>
        <v/>
      </c>
    </row>
    <row r="1942" spans="1:4">
      <c r="A1942" s="42" t="s">
        <v>2004</v>
      </c>
      <c r="B1942">
        <f>IFERROR(FIND('Simulador IR 2025'!$I$29, A1942), 0)</f>
        <v>1</v>
      </c>
      <c r="C1942">
        <f>IF(B1942&gt;0, MAX($C$2:C1941)+1, "")</f>
        <v>1940</v>
      </c>
      <c r="D1942" t="str">
        <f t="shared" si="30"/>
        <v/>
      </c>
    </row>
    <row r="1943" spans="1:4">
      <c r="A1943" s="42" t="s">
        <v>2005</v>
      </c>
      <c r="B1943">
        <f>IFERROR(FIND('Simulador IR 2025'!$I$29, A1943), 0)</f>
        <v>1</v>
      </c>
      <c r="C1943">
        <f>IF(B1943&gt;0, MAX($C$2:C1942)+1, "")</f>
        <v>1941</v>
      </c>
      <c r="D1943" t="str">
        <f t="shared" si="30"/>
        <v/>
      </c>
    </row>
    <row r="1944" spans="1:4">
      <c r="A1944" s="42" t="s">
        <v>2006</v>
      </c>
      <c r="B1944">
        <f>IFERROR(FIND('Simulador IR 2025'!$I$29, A1944), 0)</f>
        <v>1</v>
      </c>
      <c r="C1944">
        <f>IF(B1944&gt;0, MAX($C$2:C1943)+1, "")</f>
        <v>1942</v>
      </c>
      <c r="D1944" t="str">
        <f t="shared" si="30"/>
        <v/>
      </c>
    </row>
    <row r="1945" spans="1:4">
      <c r="A1945" s="42" t="s">
        <v>2007</v>
      </c>
      <c r="B1945">
        <f>IFERROR(FIND('Simulador IR 2025'!$I$29, A1945), 0)</f>
        <v>1</v>
      </c>
      <c r="C1945">
        <f>IF(B1945&gt;0, MAX($C$2:C1944)+1, "")</f>
        <v>1943</v>
      </c>
      <c r="D1945" t="str">
        <f t="shared" si="30"/>
        <v/>
      </c>
    </row>
    <row r="1946" spans="1:4">
      <c r="A1946" s="42" t="s">
        <v>2008</v>
      </c>
      <c r="B1946">
        <f>IFERROR(FIND('Simulador IR 2025'!$I$29, A1946), 0)</f>
        <v>1</v>
      </c>
      <c r="C1946">
        <f>IF(B1946&gt;0, MAX($C$2:C1945)+1, "")</f>
        <v>1944</v>
      </c>
      <c r="D1946" t="str">
        <f t="shared" si="30"/>
        <v/>
      </c>
    </row>
    <row r="1947" spans="1:4">
      <c r="A1947" s="42" t="s">
        <v>2009</v>
      </c>
      <c r="B1947">
        <f>IFERROR(FIND('Simulador IR 2025'!$I$29, A1947), 0)</f>
        <v>1</v>
      </c>
      <c r="C1947">
        <f>IF(B1947&gt;0, MAX($C$2:C1946)+1, "")</f>
        <v>1945</v>
      </c>
      <c r="D1947" t="str">
        <f t="shared" si="30"/>
        <v/>
      </c>
    </row>
    <row r="1948" spans="1:4">
      <c r="A1948" s="42" t="s">
        <v>2010</v>
      </c>
      <c r="B1948">
        <f>IFERROR(FIND('Simulador IR 2025'!$I$29, A1948), 0)</f>
        <v>1</v>
      </c>
      <c r="C1948">
        <f>IF(B1948&gt;0, MAX($C$2:C1947)+1, "")</f>
        <v>1946</v>
      </c>
      <c r="D1948" t="str">
        <f t="shared" si="30"/>
        <v/>
      </c>
    </row>
    <row r="1949" spans="1:4">
      <c r="A1949" s="42" t="s">
        <v>2011</v>
      </c>
      <c r="B1949">
        <f>IFERROR(FIND('Simulador IR 2025'!$I$29, A1949), 0)</f>
        <v>1</v>
      </c>
      <c r="C1949">
        <f>IF(B1949&gt;0, MAX($C$2:C1948)+1, "")</f>
        <v>1947</v>
      </c>
      <c r="D1949" t="str">
        <f t="shared" si="30"/>
        <v/>
      </c>
    </row>
    <row r="1950" spans="1:4">
      <c r="A1950" s="42" t="s">
        <v>2012</v>
      </c>
      <c r="B1950">
        <f>IFERROR(FIND('Simulador IR 2025'!$I$29, A1950), 0)</f>
        <v>1</v>
      </c>
      <c r="C1950">
        <f>IF(B1950&gt;0, MAX($C$2:C1949)+1, "")</f>
        <v>1948</v>
      </c>
      <c r="D1950" t="str">
        <f t="shared" si="30"/>
        <v/>
      </c>
    </row>
    <row r="1951" spans="1:4">
      <c r="A1951" s="42" t="s">
        <v>2013</v>
      </c>
      <c r="B1951">
        <f>IFERROR(FIND('Simulador IR 2025'!$I$29, A1951), 0)</f>
        <v>1</v>
      </c>
      <c r="C1951">
        <f>IF(B1951&gt;0, MAX($C$2:C1950)+1, "")</f>
        <v>1949</v>
      </c>
      <c r="D1951" t="str">
        <f t="shared" si="30"/>
        <v/>
      </c>
    </row>
    <row r="1952" spans="1:4">
      <c r="A1952" s="42" t="s">
        <v>2014</v>
      </c>
      <c r="B1952">
        <f>IFERROR(FIND('Simulador IR 2025'!$I$29, A1952), 0)</f>
        <v>1</v>
      </c>
      <c r="C1952">
        <f>IF(B1952&gt;0, MAX($C$2:C1951)+1, "")</f>
        <v>1950</v>
      </c>
      <c r="D1952" t="str">
        <f t="shared" si="30"/>
        <v/>
      </c>
    </row>
    <row r="1953" spans="1:4">
      <c r="A1953" s="42" t="s">
        <v>2015</v>
      </c>
      <c r="B1953">
        <f>IFERROR(FIND('Simulador IR 2025'!$I$29, A1953), 0)</f>
        <v>1</v>
      </c>
      <c r="C1953">
        <f>IF(B1953&gt;0, MAX($C$2:C1952)+1, "")</f>
        <v>1951</v>
      </c>
      <c r="D1953" t="str">
        <f t="shared" si="30"/>
        <v/>
      </c>
    </row>
    <row r="1954" spans="1:4">
      <c r="A1954" s="42" t="s">
        <v>2016</v>
      </c>
      <c r="B1954">
        <f>IFERROR(FIND('Simulador IR 2025'!$I$29, A1954), 0)</f>
        <v>1</v>
      </c>
      <c r="C1954">
        <f>IF(B1954&gt;0, MAX($C$2:C1953)+1, "")</f>
        <v>1952</v>
      </c>
      <c r="D1954" t="str">
        <f t="shared" si="30"/>
        <v/>
      </c>
    </row>
    <row r="1955" spans="1:4">
      <c r="A1955" s="42" t="s">
        <v>2017</v>
      </c>
      <c r="B1955">
        <f>IFERROR(FIND('Simulador IR 2025'!$I$29, A1955), 0)</f>
        <v>1</v>
      </c>
      <c r="C1955">
        <f>IF(B1955&gt;0, MAX($C$2:C1954)+1, "")</f>
        <v>1953</v>
      </c>
      <c r="D1955" t="str">
        <f t="shared" si="30"/>
        <v/>
      </c>
    </row>
    <row r="1956" spans="1:4">
      <c r="A1956" s="42" t="s">
        <v>2018</v>
      </c>
      <c r="B1956">
        <f>IFERROR(FIND('Simulador IR 2025'!$I$29, A1956), 0)</f>
        <v>1</v>
      </c>
      <c r="C1956">
        <f>IF(B1956&gt;0, MAX($C$2:C1955)+1, "")</f>
        <v>1954</v>
      </c>
      <c r="D1956" t="str">
        <f t="shared" si="30"/>
        <v/>
      </c>
    </row>
    <row r="1957" spans="1:4">
      <c r="A1957" s="42" t="s">
        <v>2019</v>
      </c>
      <c r="B1957">
        <f>IFERROR(FIND('Simulador IR 2025'!$I$29, A1957), 0)</f>
        <v>1</v>
      </c>
      <c r="C1957">
        <f>IF(B1957&gt;0, MAX($C$2:C1956)+1, "")</f>
        <v>1955</v>
      </c>
      <c r="D1957" t="str">
        <f t="shared" si="30"/>
        <v/>
      </c>
    </row>
    <row r="1958" spans="1:4">
      <c r="A1958" s="42" t="s">
        <v>2020</v>
      </c>
      <c r="B1958">
        <f>IFERROR(FIND('Simulador IR 2025'!$I$29, A1958), 0)</f>
        <v>1</v>
      </c>
      <c r="C1958">
        <f>IF(B1958&gt;0, MAX($C$2:C1957)+1, "")</f>
        <v>1956</v>
      </c>
      <c r="D1958" t="str">
        <f t="shared" si="30"/>
        <v/>
      </c>
    </row>
    <row r="1959" spans="1:4">
      <c r="A1959" s="42" t="s">
        <v>2021</v>
      </c>
      <c r="B1959">
        <f>IFERROR(FIND('Simulador IR 2025'!$I$29, A1959), 0)</f>
        <v>1</v>
      </c>
      <c r="C1959">
        <f>IF(B1959&gt;0, MAX($C$2:C1958)+1, "")</f>
        <v>1957</v>
      </c>
      <c r="D1959" t="str">
        <f t="shared" si="30"/>
        <v/>
      </c>
    </row>
    <row r="1960" spans="1:4">
      <c r="A1960" s="42" t="s">
        <v>2022</v>
      </c>
      <c r="B1960">
        <f>IFERROR(FIND('Simulador IR 2025'!$I$29, A1960), 0)</f>
        <v>1</v>
      </c>
      <c r="C1960">
        <f>IF(B1960&gt;0, MAX($C$2:C1959)+1, "")</f>
        <v>1958</v>
      </c>
      <c r="D1960" t="str">
        <f t="shared" si="30"/>
        <v/>
      </c>
    </row>
    <row r="1961" spans="1:4">
      <c r="A1961" s="42" t="s">
        <v>2023</v>
      </c>
      <c r="B1961">
        <f>IFERROR(FIND('Simulador IR 2025'!$I$29, A1961), 0)</f>
        <v>1</v>
      </c>
      <c r="C1961">
        <f>IF(B1961&gt;0, MAX($C$2:C1960)+1, "")</f>
        <v>1959</v>
      </c>
      <c r="D1961" t="str">
        <f t="shared" si="30"/>
        <v/>
      </c>
    </row>
    <row r="1962" spans="1:4">
      <c r="A1962" s="42" t="s">
        <v>2024</v>
      </c>
      <c r="B1962">
        <f>IFERROR(FIND('Simulador IR 2025'!$I$29, A1962), 0)</f>
        <v>1</v>
      </c>
      <c r="C1962">
        <f>IF(B1962&gt;0, MAX($C$2:C1961)+1, "")</f>
        <v>1960</v>
      </c>
      <c r="D1962" t="str">
        <f t="shared" si="30"/>
        <v/>
      </c>
    </row>
    <row r="1963" spans="1:4">
      <c r="A1963" s="42" t="s">
        <v>2025</v>
      </c>
      <c r="B1963">
        <f>IFERROR(FIND('Simulador IR 2025'!$I$29, A1963), 0)</f>
        <v>1</v>
      </c>
      <c r="C1963">
        <f>IF(B1963&gt;0, MAX($C$2:C1962)+1, "")</f>
        <v>1961</v>
      </c>
      <c r="D1963" t="str">
        <f t="shared" si="30"/>
        <v/>
      </c>
    </row>
    <row r="1964" spans="1:4">
      <c r="A1964" s="42" t="s">
        <v>2026</v>
      </c>
      <c r="B1964">
        <f>IFERROR(FIND('Simulador IR 2025'!$I$29, A1964), 0)</f>
        <v>1</v>
      </c>
      <c r="C1964">
        <f>IF(B1964&gt;0, MAX($C$2:C1963)+1, "")</f>
        <v>1962</v>
      </c>
      <c r="D1964" t="str">
        <f t="shared" si="30"/>
        <v/>
      </c>
    </row>
    <row r="1965" spans="1:4">
      <c r="A1965" s="42" t="s">
        <v>2027</v>
      </c>
      <c r="B1965">
        <f>IFERROR(FIND('Simulador IR 2025'!$I$29, A1965), 0)</f>
        <v>1</v>
      </c>
      <c r="C1965">
        <f>IF(B1965&gt;0, MAX($C$2:C1964)+1, "")</f>
        <v>1963</v>
      </c>
      <c r="D1965" t="str">
        <f t="shared" si="30"/>
        <v/>
      </c>
    </row>
    <row r="1966" spans="1:4">
      <c r="A1966" s="42" t="s">
        <v>2028</v>
      </c>
      <c r="B1966">
        <f>IFERROR(FIND('Simulador IR 2025'!$I$29, A1966), 0)</f>
        <v>1</v>
      </c>
      <c r="C1966">
        <f>IF(B1966&gt;0, MAX($C$2:C1965)+1, "")</f>
        <v>1964</v>
      </c>
      <c r="D1966" t="str">
        <f t="shared" si="30"/>
        <v/>
      </c>
    </row>
    <row r="1967" spans="1:4">
      <c r="A1967" s="42" t="s">
        <v>2029</v>
      </c>
      <c r="B1967">
        <f>IFERROR(FIND('Simulador IR 2025'!$I$29, A1967), 0)</f>
        <v>1</v>
      </c>
      <c r="C1967">
        <f>IF(B1967&gt;0, MAX($C$2:C1966)+1, "")</f>
        <v>1965</v>
      </c>
      <c r="D1967" t="str">
        <f t="shared" si="30"/>
        <v/>
      </c>
    </row>
    <row r="1968" spans="1:4">
      <c r="A1968" s="42" t="s">
        <v>2030</v>
      </c>
      <c r="B1968">
        <f>IFERROR(FIND('Simulador IR 2025'!$I$29, A1968), 0)</f>
        <v>1</v>
      </c>
      <c r="C1968">
        <f>IF(B1968&gt;0, MAX($C$2:C1967)+1, "")</f>
        <v>1966</v>
      </c>
      <c r="D1968" t="str">
        <f t="shared" si="30"/>
        <v/>
      </c>
    </row>
    <row r="1969" spans="1:4">
      <c r="A1969" s="42" t="s">
        <v>2031</v>
      </c>
      <c r="B1969">
        <f>IFERROR(FIND('Simulador IR 2025'!$I$29, A1969), 0)</f>
        <v>1</v>
      </c>
      <c r="C1969">
        <f>IF(B1969&gt;0, MAX($C$2:C1968)+1, "")</f>
        <v>1967</v>
      </c>
      <c r="D1969" t="str">
        <f t="shared" si="30"/>
        <v/>
      </c>
    </row>
    <row r="1970" spans="1:4">
      <c r="A1970" s="42" t="s">
        <v>2032</v>
      </c>
      <c r="B1970">
        <f>IFERROR(FIND('Simulador IR 2025'!$I$29, A1970), 0)</f>
        <v>1</v>
      </c>
      <c r="C1970">
        <f>IF(B1970&gt;0, MAX($C$2:C1969)+1, "")</f>
        <v>1968</v>
      </c>
      <c r="D1970" t="str">
        <f t="shared" si="30"/>
        <v/>
      </c>
    </row>
    <row r="1971" spans="1:4">
      <c r="A1971" s="42" t="s">
        <v>2033</v>
      </c>
      <c r="B1971">
        <f>IFERROR(FIND('Simulador IR 2025'!$I$29, A1971), 0)</f>
        <v>1</v>
      </c>
      <c r="C1971">
        <f>IF(B1971&gt;0, MAX($C$2:C1970)+1, "")</f>
        <v>1969</v>
      </c>
      <c r="D1971" t="str">
        <f t="shared" si="30"/>
        <v/>
      </c>
    </row>
    <row r="1972" spans="1:4">
      <c r="A1972" s="42" t="s">
        <v>2034</v>
      </c>
      <c r="B1972">
        <f>IFERROR(FIND('Simulador IR 2025'!$I$29, A1972), 0)</f>
        <v>1</v>
      </c>
      <c r="C1972">
        <f>IF(B1972&gt;0, MAX($C$2:C1971)+1, "")</f>
        <v>1970</v>
      </c>
      <c r="D1972" t="str">
        <f t="shared" si="30"/>
        <v/>
      </c>
    </row>
    <row r="1973" spans="1:4">
      <c r="A1973" s="42" t="s">
        <v>2035</v>
      </c>
      <c r="B1973">
        <f>IFERROR(FIND('Simulador IR 2025'!$I$29, A1973), 0)</f>
        <v>1</v>
      </c>
      <c r="C1973">
        <f>IF(B1973&gt;0, MAX($C$2:C1972)+1, "")</f>
        <v>1971</v>
      </c>
      <c r="D1973" t="str">
        <f t="shared" si="30"/>
        <v/>
      </c>
    </row>
    <row r="1974" spans="1:4">
      <c r="A1974" s="42" t="s">
        <v>2036</v>
      </c>
      <c r="B1974">
        <f>IFERROR(FIND('Simulador IR 2025'!$I$29, A1974), 0)</f>
        <v>1</v>
      </c>
      <c r="C1974">
        <f>IF(B1974&gt;0, MAX($C$2:C1973)+1, "")</f>
        <v>1972</v>
      </c>
      <c r="D1974" t="str">
        <f t="shared" si="30"/>
        <v/>
      </c>
    </row>
    <row r="1975" spans="1:4">
      <c r="A1975" s="42" t="s">
        <v>2037</v>
      </c>
      <c r="B1975">
        <f>IFERROR(FIND('Simulador IR 2025'!$I$29, A1975), 0)</f>
        <v>1</v>
      </c>
      <c r="C1975">
        <f>IF(B1975&gt;0, MAX($C$2:C1974)+1, "")</f>
        <v>1973</v>
      </c>
      <c r="D1975" t="str">
        <f t="shared" si="30"/>
        <v/>
      </c>
    </row>
    <row r="1976" spans="1:4">
      <c r="A1976" s="42" t="s">
        <v>2038</v>
      </c>
      <c r="B1976">
        <f>IFERROR(FIND('Simulador IR 2025'!$I$29, A1976), 0)</f>
        <v>1</v>
      </c>
      <c r="C1976">
        <f>IF(B1976&gt;0, MAX($C$2:C1975)+1, "")</f>
        <v>1974</v>
      </c>
      <c r="D1976" t="str">
        <f t="shared" si="30"/>
        <v/>
      </c>
    </row>
    <row r="1977" spans="1:4">
      <c r="A1977" s="42" t="s">
        <v>2039</v>
      </c>
      <c r="B1977">
        <f>IFERROR(FIND('Simulador IR 2025'!$I$29, A1977), 0)</f>
        <v>1</v>
      </c>
      <c r="C1977">
        <f>IF(B1977&gt;0, MAX($C$2:C1976)+1, "")</f>
        <v>1975</v>
      </c>
      <c r="D1977" t="str">
        <f t="shared" si="30"/>
        <v/>
      </c>
    </row>
    <row r="1978" spans="1:4">
      <c r="A1978" s="42" t="s">
        <v>2040</v>
      </c>
      <c r="B1978">
        <f>IFERROR(FIND('Simulador IR 2025'!$I$29, A1978), 0)</f>
        <v>1</v>
      </c>
      <c r="C1978">
        <f>IF(B1978&gt;0, MAX($C$2:C1977)+1, "")</f>
        <v>1976</v>
      </c>
      <c r="D1978" t="str">
        <f t="shared" si="30"/>
        <v/>
      </c>
    </row>
    <row r="1979" spans="1:4">
      <c r="A1979" s="42" t="s">
        <v>2041</v>
      </c>
      <c r="B1979">
        <f>IFERROR(FIND('Simulador IR 2025'!$I$29, A1979), 0)</f>
        <v>1</v>
      </c>
      <c r="C1979">
        <f>IF(B1979&gt;0, MAX($C$2:C1978)+1, "")</f>
        <v>1977</v>
      </c>
      <c r="D1979" t="str">
        <f t="shared" si="30"/>
        <v/>
      </c>
    </row>
    <row r="1980" spans="1:4">
      <c r="A1980" s="42" t="s">
        <v>2042</v>
      </c>
      <c r="B1980">
        <f>IFERROR(FIND('Simulador IR 2025'!$I$29, A1980), 0)</f>
        <v>1</v>
      </c>
      <c r="C1980">
        <f>IF(B1980&gt;0, MAX($C$2:C1979)+1, "")</f>
        <v>1978</v>
      </c>
      <c r="D1980" t="str">
        <f t="shared" si="30"/>
        <v/>
      </c>
    </row>
    <row r="1981" spans="1:4">
      <c r="A1981" s="42" t="s">
        <v>2043</v>
      </c>
      <c r="B1981">
        <f>IFERROR(FIND('Simulador IR 2025'!$I$29, A1981), 0)</f>
        <v>1</v>
      </c>
      <c r="C1981">
        <f>IF(B1981&gt;0, MAX($C$2:C1980)+1, "")</f>
        <v>1979</v>
      </c>
      <c r="D1981" t="str">
        <f t="shared" si="30"/>
        <v/>
      </c>
    </row>
    <row r="1982" spans="1:4">
      <c r="A1982" s="42" t="s">
        <v>2044</v>
      </c>
      <c r="B1982">
        <f>IFERROR(FIND('Simulador IR 2025'!$I$29, A1982), 0)</f>
        <v>1</v>
      </c>
      <c r="C1982">
        <f>IF(B1982&gt;0, MAX($C$2:C1981)+1, "")</f>
        <v>1980</v>
      </c>
      <c r="D1982" t="str">
        <f t="shared" si="30"/>
        <v/>
      </c>
    </row>
    <row r="1983" spans="1:4">
      <c r="A1983" s="42" t="s">
        <v>2045</v>
      </c>
      <c r="B1983">
        <f>IFERROR(FIND('Simulador IR 2025'!$I$29, A1983), 0)</f>
        <v>1</v>
      </c>
      <c r="C1983">
        <f>IF(B1983&gt;0, MAX($C$2:C1982)+1, "")</f>
        <v>1981</v>
      </c>
      <c r="D1983" t="str">
        <f t="shared" si="30"/>
        <v/>
      </c>
    </row>
    <row r="1984" spans="1:4">
      <c r="A1984" s="42" t="s">
        <v>2046</v>
      </c>
      <c r="B1984">
        <f>IFERROR(FIND('Simulador IR 2025'!$I$29, A1984), 0)</f>
        <v>1</v>
      </c>
      <c r="C1984">
        <f>IF(B1984&gt;0, MAX($C$2:C1983)+1, "")</f>
        <v>1982</v>
      </c>
      <c r="D1984" t="str">
        <f t="shared" si="30"/>
        <v/>
      </c>
    </row>
    <row r="1985" spans="1:4">
      <c r="A1985" s="42" t="s">
        <v>2047</v>
      </c>
      <c r="B1985">
        <f>IFERROR(FIND('Simulador IR 2025'!$I$29, A1985), 0)</f>
        <v>1</v>
      </c>
      <c r="C1985">
        <f>IF(B1985&gt;0, MAX($C$2:C1984)+1, "")</f>
        <v>1983</v>
      </c>
      <c r="D1985" t="str">
        <f t="shared" si="30"/>
        <v/>
      </c>
    </row>
    <row r="1986" spans="1:4">
      <c r="A1986" s="42" t="s">
        <v>2048</v>
      </c>
      <c r="B1986">
        <f>IFERROR(FIND('Simulador IR 2025'!$I$29, A1986), 0)</f>
        <v>1</v>
      </c>
      <c r="C1986">
        <f>IF(B1986&gt;0, MAX($C$2:C1985)+1, "")</f>
        <v>1984</v>
      </c>
      <c r="D1986" t="str">
        <f t="shared" si="30"/>
        <v/>
      </c>
    </row>
    <row r="1987" spans="1:4">
      <c r="A1987" s="42" t="s">
        <v>2049</v>
      </c>
      <c r="B1987">
        <f>IFERROR(FIND('Simulador IR 2025'!$I$29, A1987), 0)</f>
        <v>1</v>
      </c>
      <c r="C1987">
        <f>IF(B1987&gt;0, MAX($C$2:C1986)+1, "")</f>
        <v>1985</v>
      </c>
      <c r="D1987" t="str">
        <f t="shared" si="30"/>
        <v/>
      </c>
    </row>
    <row r="1988" spans="1:4">
      <c r="A1988" s="42" t="s">
        <v>2050</v>
      </c>
      <c r="B1988">
        <f>IFERROR(FIND('Simulador IR 2025'!$I$29, A1988), 0)</f>
        <v>1</v>
      </c>
      <c r="C1988">
        <f>IF(B1988&gt;0, MAX($C$2:C1987)+1, "")</f>
        <v>1986</v>
      </c>
      <c r="D1988" t="str">
        <f t="shared" ref="D1988:D2051" si="31">IFERROR(VLOOKUP(ROW(A1986), $A$3:$C$2681, -2, FALSE), "")</f>
        <v/>
      </c>
    </row>
    <row r="1989" spans="1:4">
      <c r="A1989" s="42" t="s">
        <v>2051</v>
      </c>
      <c r="B1989">
        <f>IFERROR(FIND('Simulador IR 2025'!$I$29, A1989), 0)</f>
        <v>1</v>
      </c>
      <c r="C1989">
        <f>IF(B1989&gt;0, MAX($C$2:C1988)+1, "")</f>
        <v>1987</v>
      </c>
      <c r="D1989" t="str">
        <f t="shared" si="31"/>
        <v/>
      </c>
    </row>
    <row r="1990" spans="1:4">
      <c r="A1990" s="42" t="s">
        <v>2052</v>
      </c>
      <c r="B1990">
        <f>IFERROR(FIND('Simulador IR 2025'!$I$29, A1990), 0)</f>
        <v>1</v>
      </c>
      <c r="C1990">
        <f>IF(B1990&gt;0, MAX($C$2:C1989)+1, "")</f>
        <v>1988</v>
      </c>
      <c r="D1990" t="str">
        <f t="shared" si="31"/>
        <v/>
      </c>
    </row>
    <row r="1991" spans="1:4">
      <c r="A1991" s="42" t="s">
        <v>2053</v>
      </c>
      <c r="B1991">
        <f>IFERROR(FIND('Simulador IR 2025'!$I$29, A1991), 0)</f>
        <v>1</v>
      </c>
      <c r="C1991">
        <f>IF(B1991&gt;0, MAX($C$2:C1990)+1, "")</f>
        <v>1989</v>
      </c>
      <c r="D1991" t="str">
        <f t="shared" si="31"/>
        <v/>
      </c>
    </row>
    <row r="1992" spans="1:4">
      <c r="A1992" s="42" t="s">
        <v>2054</v>
      </c>
      <c r="B1992">
        <f>IFERROR(FIND('Simulador IR 2025'!$I$29, A1992), 0)</f>
        <v>1</v>
      </c>
      <c r="C1992">
        <f>IF(B1992&gt;0, MAX($C$2:C1991)+1, "")</f>
        <v>1990</v>
      </c>
      <c r="D1992" t="str">
        <f t="shared" si="31"/>
        <v/>
      </c>
    </row>
    <row r="1993" spans="1:4">
      <c r="A1993" s="42" t="s">
        <v>2055</v>
      </c>
      <c r="B1993">
        <f>IFERROR(FIND('Simulador IR 2025'!$I$29, A1993), 0)</f>
        <v>1</v>
      </c>
      <c r="C1993">
        <f>IF(B1993&gt;0, MAX($C$2:C1992)+1, "")</f>
        <v>1991</v>
      </c>
      <c r="D1993" t="str">
        <f t="shared" si="31"/>
        <v/>
      </c>
    </row>
    <row r="1994" spans="1:4">
      <c r="A1994" s="42" t="s">
        <v>2056</v>
      </c>
      <c r="B1994">
        <f>IFERROR(FIND('Simulador IR 2025'!$I$29, A1994), 0)</f>
        <v>1</v>
      </c>
      <c r="C1994">
        <f>IF(B1994&gt;0, MAX($C$2:C1993)+1, "")</f>
        <v>1992</v>
      </c>
      <c r="D1994" t="str">
        <f t="shared" si="31"/>
        <v/>
      </c>
    </row>
    <row r="1995" spans="1:4">
      <c r="A1995" s="42" t="s">
        <v>2057</v>
      </c>
      <c r="B1995">
        <f>IFERROR(FIND('Simulador IR 2025'!$I$29, A1995), 0)</f>
        <v>1</v>
      </c>
      <c r="C1995">
        <f>IF(B1995&gt;0, MAX($C$2:C1994)+1, "")</f>
        <v>1993</v>
      </c>
      <c r="D1995" t="str">
        <f t="shared" si="31"/>
        <v/>
      </c>
    </row>
    <row r="1996" spans="1:4">
      <c r="A1996" s="42" t="s">
        <v>2058</v>
      </c>
      <c r="B1996">
        <f>IFERROR(FIND('Simulador IR 2025'!$I$29, A1996), 0)</f>
        <v>1</v>
      </c>
      <c r="C1996">
        <f>IF(B1996&gt;0, MAX($C$2:C1995)+1, "")</f>
        <v>1994</v>
      </c>
      <c r="D1996" t="str">
        <f t="shared" si="31"/>
        <v/>
      </c>
    </row>
    <row r="1997" spans="1:4">
      <c r="A1997" s="42" t="s">
        <v>2059</v>
      </c>
      <c r="B1997">
        <f>IFERROR(FIND('Simulador IR 2025'!$I$29, A1997), 0)</f>
        <v>1</v>
      </c>
      <c r="C1997">
        <f>IF(B1997&gt;0, MAX($C$2:C1996)+1, "")</f>
        <v>1995</v>
      </c>
      <c r="D1997" t="str">
        <f t="shared" si="31"/>
        <v/>
      </c>
    </row>
    <row r="1998" spans="1:4">
      <c r="A1998" s="42" t="s">
        <v>2060</v>
      </c>
      <c r="B1998">
        <f>IFERROR(FIND('Simulador IR 2025'!$I$29, A1998), 0)</f>
        <v>1</v>
      </c>
      <c r="C1998">
        <f>IF(B1998&gt;0, MAX($C$2:C1997)+1, "")</f>
        <v>1996</v>
      </c>
      <c r="D1998" t="str">
        <f t="shared" si="31"/>
        <v/>
      </c>
    </row>
    <row r="1999" spans="1:4">
      <c r="A1999" s="42" t="s">
        <v>2061</v>
      </c>
      <c r="B1999">
        <f>IFERROR(FIND('Simulador IR 2025'!$I$29, A1999), 0)</f>
        <v>1</v>
      </c>
      <c r="C1999">
        <f>IF(B1999&gt;0, MAX($C$2:C1998)+1, "")</f>
        <v>1997</v>
      </c>
      <c r="D1999" t="str">
        <f t="shared" si="31"/>
        <v/>
      </c>
    </row>
    <row r="2000" spans="1:4">
      <c r="A2000" s="42" t="s">
        <v>2062</v>
      </c>
      <c r="B2000">
        <f>IFERROR(FIND('Simulador IR 2025'!$I$29, A2000), 0)</f>
        <v>1</v>
      </c>
      <c r="C2000">
        <f>IF(B2000&gt;0, MAX($C$2:C1999)+1, "")</f>
        <v>1998</v>
      </c>
      <c r="D2000" t="str">
        <f t="shared" si="31"/>
        <v/>
      </c>
    </row>
    <row r="2001" spans="1:4">
      <c r="A2001" s="42" t="s">
        <v>2063</v>
      </c>
      <c r="B2001">
        <f>IFERROR(FIND('Simulador IR 2025'!$I$29, A2001), 0)</f>
        <v>1</v>
      </c>
      <c r="C2001">
        <f>IF(B2001&gt;0, MAX($C$2:C2000)+1, "")</f>
        <v>1999</v>
      </c>
      <c r="D2001" t="str">
        <f t="shared" si="31"/>
        <v/>
      </c>
    </row>
    <row r="2002" spans="1:4">
      <c r="A2002" s="42" t="s">
        <v>2064</v>
      </c>
      <c r="B2002">
        <f>IFERROR(FIND('Simulador IR 2025'!$I$29, A2002), 0)</f>
        <v>1</v>
      </c>
      <c r="C2002">
        <f>IF(B2002&gt;0, MAX($C$2:C2001)+1, "")</f>
        <v>2000</v>
      </c>
      <c r="D2002" t="str">
        <f t="shared" si="31"/>
        <v/>
      </c>
    </row>
    <row r="2003" spans="1:4">
      <c r="A2003" s="42" t="s">
        <v>2065</v>
      </c>
      <c r="B2003">
        <f>IFERROR(FIND('Simulador IR 2025'!$I$29, A2003), 0)</f>
        <v>1</v>
      </c>
      <c r="C2003">
        <f>IF(B2003&gt;0, MAX($C$2:C2002)+1, "")</f>
        <v>2001</v>
      </c>
      <c r="D2003" t="str">
        <f t="shared" si="31"/>
        <v/>
      </c>
    </row>
    <row r="2004" spans="1:4">
      <c r="A2004" s="42" t="s">
        <v>2066</v>
      </c>
      <c r="B2004">
        <f>IFERROR(FIND('Simulador IR 2025'!$I$29, A2004), 0)</f>
        <v>1</v>
      </c>
      <c r="C2004">
        <f>IF(B2004&gt;0, MAX($C$2:C2003)+1, "")</f>
        <v>2002</v>
      </c>
      <c r="D2004" t="str">
        <f t="shared" si="31"/>
        <v/>
      </c>
    </row>
    <row r="2005" spans="1:4">
      <c r="A2005" s="42" t="s">
        <v>2067</v>
      </c>
      <c r="B2005">
        <f>IFERROR(FIND('Simulador IR 2025'!$I$29, A2005), 0)</f>
        <v>1</v>
      </c>
      <c r="C2005">
        <f>IF(B2005&gt;0, MAX($C$2:C2004)+1, "")</f>
        <v>2003</v>
      </c>
      <c r="D2005" t="str">
        <f t="shared" si="31"/>
        <v/>
      </c>
    </row>
    <row r="2006" spans="1:4">
      <c r="A2006" s="42" t="s">
        <v>2068</v>
      </c>
      <c r="B2006">
        <f>IFERROR(FIND('Simulador IR 2025'!$I$29, A2006), 0)</f>
        <v>1</v>
      </c>
      <c r="C2006">
        <f>IF(B2006&gt;0, MAX($C$2:C2005)+1, "")</f>
        <v>2004</v>
      </c>
      <c r="D2006" t="str">
        <f t="shared" si="31"/>
        <v/>
      </c>
    </row>
    <row r="2007" spans="1:4">
      <c r="A2007" s="42" t="s">
        <v>2069</v>
      </c>
      <c r="B2007">
        <f>IFERROR(FIND('Simulador IR 2025'!$I$29, A2007), 0)</f>
        <v>1</v>
      </c>
      <c r="C2007">
        <f>IF(B2007&gt;0, MAX($C$2:C2006)+1, "")</f>
        <v>2005</v>
      </c>
      <c r="D2007" t="str">
        <f t="shared" si="31"/>
        <v/>
      </c>
    </row>
    <row r="2008" spans="1:4">
      <c r="A2008" s="42" t="s">
        <v>2070</v>
      </c>
      <c r="B2008">
        <f>IFERROR(FIND('Simulador IR 2025'!$I$29, A2008), 0)</f>
        <v>1</v>
      </c>
      <c r="C2008">
        <f>IF(B2008&gt;0, MAX($C$2:C2007)+1, "")</f>
        <v>2006</v>
      </c>
      <c r="D2008" t="str">
        <f t="shared" si="31"/>
        <v/>
      </c>
    </row>
    <row r="2009" spans="1:4">
      <c r="A2009" s="42" t="s">
        <v>2071</v>
      </c>
      <c r="B2009">
        <f>IFERROR(FIND('Simulador IR 2025'!$I$29, A2009), 0)</f>
        <v>1</v>
      </c>
      <c r="C2009">
        <f>IF(B2009&gt;0, MAX($C$2:C2008)+1, "")</f>
        <v>2007</v>
      </c>
      <c r="D2009" t="str">
        <f t="shared" si="31"/>
        <v/>
      </c>
    </row>
    <row r="2010" spans="1:4">
      <c r="A2010" s="42" t="s">
        <v>2072</v>
      </c>
      <c r="B2010">
        <f>IFERROR(FIND('Simulador IR 2025'!$I$29, A2010), 0)</f>
        <v>1</v>
      </c>
      <c r="C2010">
        <f>IF(B2010&gt;0, MAX($C$2:C2009)+1, "")</f>
        <v>2008</v>
      </c>
      <c r="D2010" t="str">
        <f t="shared" si="31"/>
        <v/>
      </c>
    </row>
    <row r="2011" spans="1:4">
      <c r="A2011" s="42" t="s">
        <v>2073</v>
      </c>
      <c r="B2011">
        <f>IFERROR(FIND('Simulador IR 2025'!$I$29, A2011), 0)</f>
        <v>1</v>
      </c>
      <c r="C2011">
        <f>IF(B2011&gt;0, MAX($C$2:C2010)+1, "")</f>
        <v>2009</v>
      </c>
      <c r="D2011" t="str">
        <f t="shared" si="31"/>
        <v/>
      </c>
    </row>
    <row r="2012" spans="1:4">
      <c r="A2012" s="42" t="s">
        <v>2074</v>
      </c>
      <c r="B2012">
        <f>IFERROR(FIND('Simulador IR 2025'!$I$29, A2012), 0)</f>
        <v>1</v>
      </c>
      <c r="C2012">
        <f>IF(B2012&gt;0, MAX($C$2:C2011)+1, "")</f>
        <v>2010</v>
      </c>
      <c r="D2012" t="str">
        <f t="shared" si="31"/>
        <v/>
      </c>
    </row>
    <row r="2013" spans="1:4">
      <c r="A2013" s="42" t="s">
        <v>2075</v>
      </c>
      <c r="B2013">
        <f>IFERROR(FIND('Simulador IR 2025'!$I$29, A2013), 0)</f>
        <v>1</v>
      </c>
      <c r="C2013">
        <f>IF(B2013&gt;0, MAX($C$2:C2012)+1, "")</f>
        <v>2011</v>
      </c>
      <c r="D2013" t="str">
        <f t="shared" si="31"/>
        <v/>
      </c>
    </row>
    <row r="2014" spans="1:4">
      <c r="A2014" s="42" t="s">
        <v>2076</v>
      </c>
      <c r="B2014">
        <f>IFERROR(FIND('Simulador IR 2025'!$I$29, A2014), 0)</f>
        <v>1</v>
      </c>
      <c r="C2014">
        <f>IF(B2014&gt;0, MAX($C$2:C2013)+1, "")</f>
        <v>2012</v>
      </c>
      <c r="D2014" t="str">
        <f t="shared" si="31"/>
        <v/>
      </c>
    </row>
    <row r="2015" spans="1:4">
      <c r="A2015" s="42" t="s">
        <v>2077</v>
      </c>
      <c r="B2015">
        <f>IFERROR(FIND('Simulador IR 2025'!$I$29, A2015), 0)</f>
        <v>1</v>
      </c>
      <c r="C2015">
        <f>IF(B2015&gt;0, MAX($C$2:C2014)+1, "")</f>
        <v>2013</v>
      </c>
      <c r="D2015" t="str">
        <f t="shared" si="31"/>
        <v/>
      </c>
    </row>
    <row r="2016" spans="1:4">
      <c r="A2016" s="42" t="s">
        <v>2078</v>
      </c>
      <c r="B2016">
        <f>IFERROR(FIND('Simulador IR 2025'!$I$29, A2016), 0)</f>
        <v>1</v>
      </c>
      <c r="C2016">
        <f>IF(B2016&gt;0, MAX($C$2:C2015)+1, "")</f>
        <v>2014</v>
      </c>
      <c r="D2016" t="str">
        <f t="shared" si="31"/>
        <v/>
      </c>
    </row>
    <row r="2017" spans="1:4">
      <c r="A2017" s="42" t="s">
        <v>2079</v>
      </c>
      <c r="B2017">
        <f>IFERROR(FIND('Simulador IR 2025'!$I$29, A2017), 0)</f>
        <v>1</v>
      </c>
      <c r="C2017">
        <f>IF(B2017&gt;0, MAX($C$2:C2016)+1, "")</f>
        <v>2015</v>
      </c>
      <c r="D2017" t="str">
        <f t="shared" si="31"/>
        <v/>
      </c>
    </row>
    <row r="2018" spans="1:4">
      <c r="A2018" s="42" t="s">
        <v>2080</v>
      </c>
      <c r="B2018">
        <f>IFERROR(FIND('Simulador IR 2025'!$I$29, A2018), 0)</f>
        <v>1</v>
      </c>
      <c r="C2018">
        <f>IF(B2018&gt;0, MAX($C$2:C2017)+1, "")</f>
        <v>2016</v>
      </c>
      <c r="D2018" t="str">
        <f t="shared" si="31"/>
        <v/>
      </c>
    </row>
    <row r="2019" spans="1:4">
      <c r="A2019" s="42" t="s">
        <v>2081</v>
      </c>
      <c r="B2019">
        <f>IFERROR(FIND('Simulador IR 2025'!$I$29, A2019), 0)</f>
        <v>1</v>
      </c>
      <c r="C2019">
        <f>IF(B2019&gt;0, MAX($C$2:C2018)+1, "")</f>
        <v>2017</v>
      </c>
      <c r="D2019" t="str">
        <f t="shared" si="31"/>
        <v/>
      </c>
    </row>
    <row r="2020" spans="1:4">
      <c r="A2020" s="42" t="s">
        <v>2082</v>
      </c>
      <c r="B2020">
        <f>IFERROR(FIND('Simulador IR 2025'!$I$29, A2020), 0)</f>
        <v>1</v>
      </c>
      <c r="C2020">
        <f>IF(B2020&gt;0, MAX($C$2:C2019)+1, "")</f>
        <v>2018</v>
      </c>
      <c r="D2020" t="str">
        <f t="shared" si="31"/>
        <v/>
      </c>
    </row>
    <row r="2021" spans="1:4">
      <c r="A2021" s="42" t="s">
        <v>2083</v>
      </c>
      <c r="B2021">
        <f>IFERROR(FIND('Simulador IR 2025'!$I$29, A2021), 0)</f>
        <v>1</v>
      </c>
      <c r="C2021">
        <f>IF(B2021&gt;0, MAX($C$2:C2020)+1, "")</f>
        <v>2019</v>
      </c>
      <c r="D2021" t="str">
        <f t="shared" si="31"/>
        <v/>
      </c>
    </row>
    <row r="2022" spans="1:4">
      <c r="A2022" s="42" t="s">
        <v>2084</v>
      </c>
      <c r="B2022">
        <f>IFERROR(FIND('Simulador IR 2025'!$I$29, A2022), 0)</f>
        <v>1</v>
      </c>
      <c r="C2022">
        <f>IF(B2022&gt;0, MAX($C$2:C2021)+1, "")</f>
        <v>2020</v>
      </c>
      <c r="D2022" t="str">
        <f t="shared" si="31"/>
        <v/>
      </c>
    </row>
    <row r="2023" spans="1:4">
      <c r="A2023" s="42" t="s">
        <v>2085</v>
      </c>
      <c r="B2023">
        <f>IFERROR(FIND('Simulador IR 2025'!$I$29, A2023), 0)</f>
        <v>1</v>
      </c>
      <c r="C2023">
        <f>IF(B2023&gt;0, MAX($C$2:C2022)+1, "")</f>
        <v>2021</v>
      </c>
      <c r="D2023" t="str">
        <f t="shared" si="31"/>
        <v/>
      </c>
    </row>
    <row r="2024" spans="1:4">
      <c r="A2024" s="42" t="s">
        <v>2086</v>
      </c>
      <c r="B2024">
        <f>IFERROR(FIND('Simulador IR 2025'!$I$29, A2024), 0)</f>
        <v>1</v>
      </c>
      <c r="C2024">
        <f>IF(B2024&gt;0, MAX($C$2:C2023)+1, "")</f>
        <v>2022</v>
      </c>
      <c r="D2024" t="str">
        <f t="shared" si="31"/>
        <v/>
      </c>
    </row>
    <row r="2025" spans="1:4">
      <c r="A2025" s="42" t="s">
        <v>2087</v>
      </c>
      <c r="B2025">
        <f>IFERROR(FIND('Simulador IR 2025'!$I$29, A2025), 0)</f>
        <v>1</v>
      </c>
      <c r="C2025">
        <f>IF(B2025&gt;0, MAX($C$2:C2024)+1, "")</f>
        <v>2023</v>
      </c>
      <c r="D2025" t="str">
        <f t="shared" si="31"/>
        <v/>
      </c>
    </row>
    <row r="2026" spans="1:4">
      <c r="A2026" s="42" t="s">
        <v>2088</v>
      </c>
      <c r="B2026">
        <f>IFERROR(FIND('Simulador IR 2025'!$I$29, A2026), 0)</f>
        <v>1</v>
      </c>
      <c r="C2026">
        <f>IF(B2026&gt;0, MAX($C$2:C2025)+1, "")</f>
        <v>2024</v>
      </c>
      <c r="D2026" t="str">
        <f t="shared" si="31"/>
        <v/>
      </c>
    </row>
    <row r="2027" spans="1:4">
      <c r="A2027" s="42" t="s">
        <v>2089</v>
      </c>
      <c r="B2027">
        <f>IFERROR(FIND('Simulador IR 2025'!$I$29, A2027), 0)</f>
        <v>1</v>
      </c>
      <c r="C2027">
        <f>IF(B2027&gt;0, MAX($C$2:C2026)+1, "")</f>
        <v>2025</v>
      </c>
      <c r="D2027" t="str">
        <f t="shared" si="31"/>
        <v/>
      </c>
    </row>
    <row r="2028" spans="1:4">
      <c r="A2028" s="42" t="s">
        <v>2090</v>
      </c>
      <c r="B2028">
        <f>IFERROR(FIND('Simulador IR 2025'!$I$29, A2028), 0)</f>
        <v>1</v>
      </c>
      <c r="C2028">
        <f>IF(B2028&gt;0, MAX($C$2:C2027)+1, "")</f>
        <v>2026</v>
      </c>
      <c r="D2028" t="str">
        <f t="shared" si="31"/>
        <v/>
      </c>
    </row>
    <row r="2029" spans="1:4">
      <c r="A2029" s="42" t="s">
        <v>2091</v>
      </c>
      <c r="B2029">
        <f>IFERROR(FIND('Simulador IR 2025'!$I$29, A2029), 0)</f>
        <v>1</v>
      </c>
      <c r="C2029">
        <f>IF(B2029&gt;0, MAX($C$2:C2028)+1, "")</f>
        <v>2027</v>
      </c>
      <c r="D2029" t="str">
        <f t="shared" si="31"/>
        <v/>
      </c>
    </row>
    <row r="2030" spans="1:4">
      <c r="A2030" s="42" t="s">
        <v>2092</v>
      </c>
      <c r="B2030">
        <f>IFERROR(FIND('Simulador IR 2025'!$I$29, A2030), 0)</f>
        <v>1</v>
      </c>
      <c r="C2030">
        <f>IF(B2030&gt;0, MAX($C$2:C2029)+1, "")</f>
        <v>2028</v>
      </c>
      <c r="D2030" t="str">
        <f t="shared" si="31"/>
        <v/>
      </c>
    </row>
    <row r="2031" spans="1:4">
      <c r="A2031" s="42" t="s">
        <v>2093</v>
      </c>
      <c r="B2031">
        <f>IFERROR(FIND('Simulador IR 2025'!$I$29, A2031), 0)</f>
        <v>1</v>
      </c>
      <c r="C2031">
        <f>IF(B2031&gt;0, MAX($C$2:C2030)+1, "")</f>
        <v>2029</v>
      </c>
      <c r="D2031" t="str">
        <f t="shared" si="31"/>
        <v/>
      </c>
    </row>
    <row r="2032" spans="1:4">
      <c r="A2032" s="42" t="s">
        <v>2094</v>
      </c>
      <c r="B2032">
        <f>IFERROR(FIND('Simulador IR 2025'!$I$29, A2032), 0)</f>
        <v>1</v>
      </c>
      <c r="C2032">
        <f>IF(B2032&gt;0, MAX($C$2:C2031)+1, "")</f>
        <v>2030</v>
      </c>
      <c r="D2032" t="str">
        <f t="shared" si="31"/>
        <v/>
      </c>
    </row>
    <row r="2033" spans="1:4">
      <c r="A2033" s="42" t="s">
        <v>2095</v>
      </c>
      <c r="B2033">
        <f>IFERROR(FIND('Simulador IR 2025'!$I$29, A2033), 0)</f>
        <v>1</v>
      </c>
      <c r="C2033">
        <f>IF(B2033&gt;0, MAX($C$2:C2032)+1, "")</f>
        <v>2031</v>
      </c>
      <c r="D2033" t="str">
        <f t="shared" si="31"/>
        <v/>
      </c>
    </row>
    <row r="2034" spans="1:4">
      <c r="A2034" s="42" t="s">
        <v>2096</v>
      </c>
      <c r="B2034">
        <f>IFERROR(FIND('Simulador IR 2025'!$I$29, A2034), 0)</f>
        <v>1</v>
      </c>
      <c r="C2034">
        <f>IF(B2034&gt;0, MAX($C$2:C2033)+1, "")</f>
        <v>2032</v>
      </c>
      <c r="D2034" t="str">
        <f t="shared" si="31"/>
        <v/>
      </c>
    </row>
    <row r="2035" spans="1:4">
      <c r="A2035" s="42" t="s">
        <v>2097</v>
      </c>
      <c r="B2035">
        <f>IFERROR(FIND('Simulador IR 2025'!$I$29, A2035), 0)</f>
        <v>1</v>
      </c>
      <c r="C2035">
        <f>IF(B2035&gt;0, MAX($C$2:C2034)+1, "")</f>
        <v>2033</v>
      </c>
      <c r="D2035" t="str">
        <f t="shared" si="31"/>
        <v/>
      </c>
    </row>
    <row r="2036" spans="1:4">
      <c r="A2036" s="42" t="s">
        <v>2098</v>
      </c>
      <c r="B2036">
        <f>IFERROR(FIND('Simulador IR 2025'!$I$29, A2036), 0)</f>
        <v>1</v>
      </c>
      <c r="C2036">
        <f>IF(B2036&gt;0, MAX($C$2:C2035)+1, "")</f>
        <v>2034</v>
      </c>
      <c r="D2036" t="str">
        <f t="shared" si="31"/>
        <v/>
      </c>
    </row>
    <row r="2037" spans="1:4">
      <c r="A2037" s="42" t="s">
        <v>2099</v>
      </c>
      <c r="B2037">
        <f>IFERROR(FIND('Simulador IR 2025'!$I$29, A2037), 0)</f>
        <v>1</v>
      </c>
      <c r="C2037">
        <f>IF(B2037&gt;0, MAX($C$2:C2036)+1, "")</f>
        <v>2035</v>
      </c>
      <c r="D2037" t="str">
        <f t="shared" si="31"/>
        <v/>
      </c>
    </row>
    <row r="2038" spans="1:4">
      <c r="A2038" s="42" t="s">
        <v>2100</v>
      </c>
      <c r="B2038">
        <f>IFERROR(FIND('Simulador IR 2025'!$I$29, A2038), 0)</f>
        <v>1</v>
      </c>
      <c r="C2038">
        <f>IF(B2038&gt;0, MAX($C$2:C2037)+1, "")</f>
        <v>2036</v>
      </c>
      <c r="D2038" t="str">
        <f t="shared" si="31"/>
        <v/>
      </c>
    </row>
    <row r="2039" spans="1:4">
      <c r="A2039" s="42" t="s">
        <v>2101</v>
      </c>
      <c r="B2039">
        <f>IFERROR(FIND('Simulador IR 2025'!$I$29, A2039), 0)</f>
        <v>1</v>
      </c>
      <c r="C2039">
        <f>IF(B2039&gt;0, MAX($C$2:C2038)+1, "")</f>
        <v>2037</v>
      </c>
      <c r="D2039" t="str">
        <f t="shared" si="31"/>
        <v/>
      </c>
    </row>
    <row r="2040" spans="1:4">
      <c r="A2040" s="42" t="s">
        <v>2102</v>
      </c>
      <c r="B2040">
        <f>IFERROR(FIND('Simulador IR 2025'!$I$29, A2040), 0)</f>
        <v>1</v>
      </c>
      <c r="C2040">
        <f>IF(B2040&gt;0, MAX($C$2:C2039)+1, "")</f>
        <v>2038</v>
      </c>
      <c r="D2040" t="str">
        <f t="shared" si="31"/>
        <v/>
      </c>
    </row>
    <row r="2041" spans="1:4">
      <c r="A2041" s="42" t="s">
        <v>2103</v>
      </c>
      <c r="B2041">
        <f>IFERROR(FIND('Simulador IR 2025'!$I$29, A2041), 0)</f>
        <v>1</v>
      </c>
      <c r="C2041">
        <f>IF(B2041&gt;0, MAX($C$2:C2040)+1, "")</f>
        <v>2039</v>
      </c>
      <c r="D2041" t="str">
        <f t="shared" si="31"/>
        <v/>
      </c>
    </row>
    <row r="2042" spans="1:4">
      <c r="A2042" s="42" t="s">
        <v>2104</v>
      </c>
      <c r="B2042">
        <f>IFERROR(FIND('Simulador IR 2025'!$I$29, A2042), 0)</f>
        <v>1</v>
      </c>
      <c r="C2042">
        <f>IF(B2042&gt;0, MAX($C$2:C2041)+1, "")</f>
        <v>2040</v>
      </c>
      <c r="D2042" t="str">
        <f t="shared" si="31"/>
        <v/>
      </c>
    </row>
    <row r="2043" spans="1:4">
      <c r="A2043" s="42" t="s">
        <v>2105</v>
      </c>
      <c r="B2043">
        <f>IFERROR(FIND('Simulador IR 2025'!$I$29, A2043), 0)</f>
        <v>1</v>
      </c>
      <c r="C2043">
        <f>IF(B2043&gt;0, MAX($C$2:C2042)+1, "")</f>
        <v>2041</v>
      </c>
      <c r="D2043" t="str">
        <f t="shared" si="31"/>
        <v/>
      </c>
    </row>
    <row r="2044" spans="1:4">
      <c r="A2044" s="42" t="s">
        <v>2106</v>
      </c>
      <c r="B2044">
        <f>IFERROR(FIND('Simulador IR 2025'!$I$29, A2044), 0)</f>
        <v>1</v>
      </c>
      <c r="C2044">
        <f>IF(B2044&gt;0, MAX($C$2:C2043)+1, "")</f>
        <v>2042</v>
      </c>
      <c r="D2044" t="str">
        <f t="shared" si="31"/>
        <v/>
      </c>
    </row>
    <row r="2045" spans="1:4">
      <c r="A2045" s="42" t="s">
        <v>2107</v>
      </c>
      <c r="B2045">
        <f>IFERROR(FIND('Simulador IR 2025'!$I$29, A2045), 0)</f>
        <v>1</v>
      </c>
      <c r="C2045">
        <f>IF(B2045&gt;0, MAX($C$2:C2044)+1, "")</f>
        <v>2043</v>
      </c>
      <c r="D2045" t="str">
        <f t="shared" si="31"/>
        <v/>
      </c>
    </row>
    <row r="2046" spans="1:4">
      <c r="A2046" s="42" t="s">
        <v>2108</v>
      </c>
      <c r="B2046">
        <f>IFERROR(FIND('Simulador IR 2025'!$I$29, A2046), 0)</f>
        <v>1</v>
      </c>
      <c r="C2046">
        <f>IF(B2046&gt;0, MAX($C$2:C2045)+1, "")</f>
        <v>2044</v>
      </c>
      <c r="D2046" t="str">
        <f t="shared" si="31"/>
        <v/>
      </c>
    </row>
    <row r="2047" spans="1:4">
      <c r="A2047" s="42" t="s">
        <v>2109</v>
      </c>
      <c r="B2047">
        <f>IFERROR(FIND('Simulador IR 2025'!$I$29, A2047), 0)</f>
        <v>1</v>
      </c>
      <c r="C2047">
        <f>IF(B2047&gt;0, MAX($C$2:C2046)+1, "")</f>
        <v>2045</v>
      </c>
      <c r="D2047" t="str">
        <f t="shared" si="31"/>
        <v/>
      </c>
    </row>
    <row r="2048" spans="1:4">
      <c r="A2048" s="42" t="s">
        <v>2110</v>
      </c>
      <c r="B2048">
        <f>IFERROR(FIND('Simulador IR 2025'!$I$29, A2048), 0)</f>
        <v>1</v>
      </c>
      <c r="C2048">
        <f>IF(B2048&gt;0, MAX($C$2:C2047)+1, "")</f>
        <v>2046</v>
      </c>
      <c r="D2048" t="str">
        <f t="shared" si="31"/>
        <v/>
      </c>
    </row>
    <row r="2049" spans="1:4">
      <c r="A2049" s="42" t="s">
        <v>2111</v>
      </c>
      <c r="B2049">
        <f>IFERROR(FIND('Simulador IR 2025'!$I$29, A2049), 0)</f>
        <v>1</v>
      </c>
      <c r="C2049">
        <f>IF(B2049&gt;0, MAX($C$2:C2048)+1, "")</f>
        <v>2047</v>
      </c>
      <c r="D2049" t="str">
        <f t="shared" si="31"/>
        <v/>
      </c>
    </row>
    <row r="2050" spans="1:4">
      <c r="A2050" s="42" t="s">
        <v>2112</v>
      </c>
      <c r="B2050">
        <f>IFERROR(FIND('Simulador IR 2025'!$I$29, A2050), 0)</f>
        <v>1</v>
      </c>
      <c r="C2050">
        <f>IF(B2050&gt;0, MAX($C$2:C2049)+1, "")</f>
        <v>2048</v>
      </c>
      <c r="D2050" t="str">
        <f t="shared" si="31"/>
        <v/>
      </c>
    </row>
    <row r="2051" spans="1:4">
      <c r="A2051" s="42" t="s">
        <v>2113</v>
      </c>
      <c r="B2051">
        <f>IFERROR(FIND('Simulador IR 2025'!$I$29, A2051), 0)</f>
        <v>1</v>
      </c>
      <c r="C2051">
        <f>IF(B2051&gt;0, MAX($C$2:C2050)+1, "")</f>
        <v>2049</v>
      </c>
      <c r="D2051" t="str">
        <f t="shared" si="31"/>
        <v/>
      </c>
    </row>
    <row r="2052" spans="1:4">
      <c r="A2052" s="42" t="s">
        <v>2114</v>
      </c>
      <c r="B2052">
        <f>IFERROR(FIND('Simulador IR 2025'!$I$29, A2052), 0)</f>
        <v>1</v>
      </c>
      <c r="C2052">
        <f>IF(B2052&gt;0, MAX($C$2:C2051)+1, "")</f>
        <v>2050</v>
      </c>
      <c r="D2052" t="str">
        <f t="shared" ref="D2052:D2115" si="32">IFERROR(VLOOKUP(ROW(A2050), $A$3:$C$2681, -2, FALSE), "")</f>
        <v/>
      </c>
    </row>
    <row r="2053" spans="1:4">
      <c r="A2053" s="42" t="s">
        <v>2115</v>
      </c>
      <c r="B2053">
        <f>IFERROR(FIND('Simulador IR 2025'!$I$29, A2053), 0)</f>
        <v>1</v>
      </c>
      <c r="C2053">
        <f>IF(B2053&gt;0, MAX($C$2:C2052)+1, "")</f>
        <v>2051</v>
      </c>
      <c r="D2053" t="str">
        <f t="shared" si="32"/>
        <v/>
      </c>
    </row>
    <row r="2054" spans="1:4">
      <c r="A2054" s="42" t="s">
        <v>2116</v>
      </c>
      <c r="B2054">
        <f>IFERROR(FIND('Simulador IR 2025'!$I$29, A2054), 0)</f>
        <v>1</v>
      </c>
      <c r="C2054">
        <f>IF(B2054&gt;0, MAX($C$2:C2053)+1, "")</f>
        <v>2052</v>
      </c>
      <c r="D2054" t="str">
        <f t="shared" si="32"/>
        <v/>
      </c>
    </row>
    <row r="2055" spans="1:4">
      <c r="A2055" s="42" t="s">
        <v>2117</v>
      </c>
      <c r="B2055">
        <f>IFERROR(FIND('Simulador IR 2025'!$I$29, A2055), 0)</f>
        <v>1</v>
      </c>
      <c r="C2055">
        <f>IF(B2055&gt;0, MAX($C$2:C2054)+1, "")</f>
        <v>2053</v>
      </c>
      <c r="D2055" t="str">
        <f t="shared" si="32"/>
        <v/>
      </c>
    </row>
    <row r="2056" spans="1:4">
      <c r="A2056" s="42" t="s">
        <v>2118</v>
      </c>
      <c r="B2056">
        <f>IFERROR(FIND('Simulador IR 2025'!$I$29, A2056), 0)</f>
        <v>1</v>
      </c>
      <c r="C2056">
        <f>IF(B2056&gt;0, MAX($C$2:C2055)+1, "")</f>
        <v>2054</v>
      </c>
      <c r="D2056" t="str">
        <f t="shared" si="32"/>
        <v/>
      </c>
    </row>
    <row r="2057" spans="1:4">
      <c r="A2057" s="42" t="s">
        <v>2119</v>
      </c>
      <c r="B2057">
        <f>IFERROR(FIND('Simulador IR 2025'!$I$29, A2057), 0)</f>
        <v>1</v>
      </c>
      <c r="C2057">
        <f>IF(B2057&gt;0, MAX($C$2:C2056)+1, "")</f>
        <v>2055</v>
      </c>
      <c r="D2057" t="str">
        <f t="shared" si="32"/>
        <v/>
      </c>
    </row>
    <row r="2058" spans="1:4">
      <c r="A2058" s="42" t="s">
        <v>2120</v>
      </c>
      <c r="B2058">
        <f>IFERROR(FIND('Simulador IR 2025'!$I$29, A2058), 0)</f>
        <v>1</v>
      </c>
      <c r="C2058">
        <f>IF(B2058&gt;0, MAX($C$2:C2057)+1, "")</f>
        <v>2056</v>
      </c>
      <c r="D2058" t="str">
        <f t="shared" si="32"/>
        <v/>
      </c>
    </row>
    <row r="2059" spans="1:4">
      <c r="A2059" s="42" t="s">
        <v>2121</v>
      </c>
      <c r="B2059">
        <f>IFERROR(FIND('Simulador IR 2025'!$I$29, A2059), 0)</f>
        <v>1</v>
      </c>
      <c r="C2059">
        <f>IF(B2059&gt;0, MAX($C$2:C2058)+1, "")</f>
        <v>2057</v>
      </c>
      <c r="D2059" t="str">
        <f t="shared" si="32"/>
        <v/>
      </c>
    </row>
    <row r="2060" spans="1:4">
      <c r="A2060" s="42" t="s">
        <v>2122</v>
      </c>
      <c r="B2060">
        <f>IFERROR(FIND('Simulador IR 2025'!$I$29, A2060), 0)</f>
        <v>1</v>
      </c>
      <c r="C2060">
        <f>IF(B2060&gt;0, MAX($C$2:C2059)+1, "")</f>
        <v>2058</v>
      </c>
      <c r="D2060" t="str">
        <f t="shared" si="32"/>
        <v/>
      </c>
    </row>
    <row r="2061" spans="1:4">
      <c r="A2061" s="42" t="s">
        <v>2123</v>
      </c>
      <c r="B2061">
        <f>IFERROR(FIND('Simulador IR 2025'!$I$29, A2061), 0)</f>
        <v>1</v>
      </c>
      <c r="C2061">
        <f>IF(B2061&gt;0, MAX($C$2:C2060)+1, "")</f>
        <v>2059</v>
      </c>
      <c r="D2061" t="str">
        <f t="shared" si="32"/>
        <v/>
      </c>
    </row>
    <row r="2062" spans="1:4">
      <c r="A2062" s="42" t="s">
        <v>2124</v>
      </c>
      <c r="B2062">
        <f>IFERROR(FIND('Simulador IR 2025'!$I$29, A2062), 0)</f>
        <v>1</v>
      </c>
      <c r="C2062">
        <f>IF(B2062&gt;0, MAX($C$2:C2061)+1, "")</f>
        <v>2060</v>
      </c>
      <c r="D2062" t="str">
        <f t="shared" si="32"/>
        <v/>
      </c>
    </row>
    <row r="2063" spans="1:4">
      <c r="A2063" s="42" t="s">
        <v>2125</v>
      </c>
      <c r="B2063">
        <f>IFERROR(FIND('Simulador IR 2025'!$I$29, A2063), 0)</f>
        <v>1</v>
      </c>
      <c r="C2063">
        <f>IF(B2063&gt;0, MAX($C$2:C2062)+1, "")</f>
        <v>2061</v>
      </c>
      <c r="D2063" t="str">
        <f t="shared" si="32"/>
        <v/>
      </c>
    </row>
    <row r="2064" spans="1:4">
      <c r="A2064" s="42" t="s">
        <v>2126</v>
      </c>
      <c r="B2064">
        <f>IFERROR(FIND('Simulador IR 2025'!$I$29, A2064), 0)</f>
        <v>1</v>
      </c>
      <c r="C2064">
        <f>IF(B2064&gt;0, MAX($C$2:C2063)+1, "")</f>
        <v>2062</v>
      </c>
      <c r="D2064" t="str">
        <f t="shared" si="32"/>
        <v/>
      </c>
    </row>
    <row r="2065" spans="1:4">
      <c r="A2065" s="42" t="s">
        <v>2127</v>
      </c>
      <c r="B2065">
        <f>IFERROR(FIND('Simulador IR 2025'!$I$29, A2065), 0)</f>
        <v>1</v>
      </c>
      <c r="C2065">
        <f>IF(B2065&gt;0, MAX($C$2:C2064)+1, "")</f>
        <v>2063</v>
      </c>
      <c r="D2065" t="str">
        <f t="shared" si="32"/>
        <v/>
      </c>
    </row>
    <row r="2066" spans="1:4">
      <c r="A2066" s="42" t="s">
        <v>2128</v>
      </c>
      <c r="B2066">
        <f>IFERROR(FIND('Simulador IR 2025'!$I$29, A2066), 0)</f>
        <v>1</v>
      </c>
      <c r="C2066">
        <f>IF(B2066&gt;0, MAX($C$2:C2065)+1, "")</f>
        <v>2064</v>
      </c>
      <c r="D2066" t="str">
        <f t="shared" si="32"/>
        <v/>
      </c>
    </row>
    <row r="2067" spans="1:4">
      <c r="A2067" s="42" t="s">
        <v>2129</v>
      </c>
      <c r="B2067">
        <f>IFERROR(FIND('Simulador IR 2025'!$I$29, A2067), 0)</f>
        <v>1</v>
      </c>
      <c r="C2067">
        <f>IF(B2067&gt;0, MAX($C$2:C2066)+1, "")</f>
        <v>2065</v>
      </c>
      <c r="D2067" t="str">
        <f t="shared" si="32"/>
        <v/>
      </c>
    </row>
    <row r="2068" spans="1:4">
      <c r="A2068" s="42" t="s">
        <v>2130</v>
      </c>
      <c r="B2068">
        <f>IFERROR(FIND('Simulador IR 2025'!$I$29, A2068), 0)</f>
        <v>1</v>
      </c>
      <c r="C2068">
        <f>IF(B2068&gt;0, MAX($C$2:C2067)+1, "")</f>
        <v>2066</v>
      </c>
      <c r="D2068" t="str">
        <f t="shared" si="32"/>
        <v/>
      </c>
    </row>
    <row r="2069" spans="1:4">
      <c r="A2069" s="42" t="s">
        <v>2131</v>
      </c>
      <c r="B2069">
        <f>IFERROR(FIND('Simulador IR 2025'!$I$29, A2069), 0)</f>
        <v>1</v>
      </c>
      <c r="C2069">
        <f>IF(B2069&gt;0, MAX($C$2:C2068)+1, "")</f>
        <v>2067</v>
      </c>
      <c r="D2069" t="str">
        <f t="shared" si="32"/>
        <v/>
      </c>
    </row>
    <row r="2070" spans="1:4">
      <c r="A2070" s="42" t="s">
        <v>2132</v>
      </c>
      <c r="B2070">
        <f>IFERROR(FIND('Simulador IR 2025'!$I$29, A2070), 0)</f>
        <v>1</v>
      </c>
      <c r="C2070">
        <f>IF(B2070&gt;0, MAX($C$2:C2069)+1, "")</f>
        <v>2068</v>
      </c>
      <c r="D2070" t="str">
        <f t="shared" si="32"/>
        <v/>
      </c>
    </row>
    <row r="2071" spans="1:4">
      <c r="A2071" s="42" t="s">
        <v>2133</v>
      </c>
      <c r="B2071">
        <f>IFERROR(FIND('Simulador IR 2025'!$I$29, A2071), 0)</f>
        <v>1</v>
      </c>
      <c r="C2071">
        <f>IF(B2071&gt;0, MAX($C$2:C2070)+1, "")</f>
        <v>2069</v>
      </c>
      <c r="D2071" t="str">
        <f t="shared" si="32"/>
        <v/>
      </c>
    </row>
    <row r="2072" spans="1:4">
      <c r="A2072" s="42" t="s">
        <v>2134</v>
      </c>
      <c r="B2072">
        <f>IFERROR(FIND('Simulador IR 2025'!$I$29, A2072), 0)</f>
        <v>1</v>
      </c>
      <c r="C2072">
        <f>IF(B2072&gt;0, MAX($C$2:C2071)+1, "")</f>
        <v>2070</v>
      </c>
      <c r="D2072" t="str">
        <f t="shared" si="32"/>
        <v/>
      </c>
    </row>
    <row r="2073" spans="1:4">
      <c r="A2073" s="42" t="s">
        <v>2135</v>
      </c>
      <c r="B2073">
        <f>IFERROR(FIND('Simulador IR 2025'!$I$29, A2073), 0)</f>
        <v>1</v>
      </c>
      <c r="C2073">
        <f>IF(B2073&gt;0, MAX($C$2:C2072)+1, "")</f>
        <v>2071</v>
      </c>
      <c r="D2073" t="str">
        <f t="shared" si="32"/>
        <v/>
      </c>
    </row>
    <row r="2074" spans="1:4">
      <c r="A2074" s="42" t="s">
        <v>2136</v>
      </c>
      <c r="B2074">
        <f>IFERROR(FIND('Simulador IR 2025'!$I$29, A2074), 0)</f>
        <v>1</v>
      </c>
      <c r="C2074">
        <f>IF(B2074&gt;0, MAX($C$2:C2073)+1, "")</f>
        <v>2072</v>
      </c>
      <c r="D2074" t="str">
        <f t="shared" si="32"/>
        <v/>
      </c>
    </row>
    <row r="2075" spans="1:4">
      <c r="A2075" s="42" t="s">
        <v>2137</v>
      </c>
      <c r="B2075">
        <f>IFERROR(FIND('Simulador IR 2025'!$I$29, A2075), 0)</f>
        <v>1</v>
      </c>
      <c r="C2075">
        <f>IF(B2075&gt;0, MAX($C$2:C2074)+1, "")</f>
        <v>2073</v>
      </c>
      <c r="D2075" t="str">
        <f t="shared" si="32"/>
        <v/>
      </c>
    </row>
    <row r="2076" spans="1:4">
      <c r="A2076" s="42" t="s">
        <v>2138</v>
      </c>
      <c r="B2076">
        <f>IFERROR(FIND('Simulador IR 2025'!$I$29, A2076), 0)</f>
        <v>1</v>
      </c>
      <c r="C2076">
        <f>IF(B2076&gt;0, MAX($C$2:C2075)+1, "")</f>
        <v>2074</v>
      </c>
      <c r="D2076" t="str">
        <f t="shared" si="32"/>
        <v/>
      </c>
    </row>
    <row r="2077" spans="1:4">
      <c r="A2077" s="42" t="s">
        <v>2139</v>
      </c>
      <c r="B2077">
        <f>IFERROR(FIND('Simulador IR 2025'!$I$29, A2077), 0)</f>
        <v>1</v>
      </c>
      <c r="C2077">
        <f>IF(B2077&gt;0, MAX($C$2:C2076)+1, "")</f>
        <v>2075</v>
      </c>
      <c r="D2077" t="str">
        <f t="shared" si="32"/>
        <v/>
      </c>
    </row>
    <row r="2078" spans="1:4">
      <c r="A2078" s="42" t="s">
        <v>2140</v>
      </c>
      <c r="B2078">
        <f>IFERROR(FIND('Simulador IR 2025'!$I$29, A2078), 0)</f>
        <v>1</v>
      </c>
      <c r="C2078">
        <f>IF(B2078&gt;0, MAX($C$2:C2077)+1, "")</f>
        <v>2076</v>
      </c>
      <c r="D2078" t="str">
        <f t="shared" si="32"/>
        <v/>
      </c>
    </row>
    <row r="2079" spans="1:4">
      <c r="A2079" s="42" t="s">
        <v>2141</v>
      </c>
      <c r="B2079">
        <f>IFERROR(FIND('Simulador IR 2025'!$I$29, A2079), 0)</f>
        <v>1</v>
      </c>
      <c r="C2079">
        <f>IF(B2079&gt;0, MAX($C$2:C2078)+1, "")</f>
        <v>2077</v>
      </c>
      <c r="D2079" t="str">
        <f t="shared" si="32"/>
        <v/>
      </c>
    </row>
    <row r="2080" spans="1:4">
      <c r="A2080" s="42" t="s">
        <v>2142</v>
      </c>
      <c r="B2080">
        <f>IFERROR(FIND('Simulador IR 2025'!$I$29, A2080), 0)</f>
        <v>1</v>
      </c>
      <c r="C2080">
        <f>IF(B2080&gt;0, MAX($C$2:C2079)+1, "")</f>
        <v>2078</v>
      </c>
      <c r="D2080" t="str">
        <f t="shared" si="32"/>
        <v/>
      </c>
    </row>
    <row r="2081" spans="1:4">
      <c r="A2081" s="42" t="s">
        <v>2143</v>
      </c>
      <c r="B2081">
        <f>IFERROR(FIND('Simulador IR 2025'!$I$29, A2081), 0)</f>
        <v>1</v>
      </c>
      <c r="C2081">
        <f>IF(B2081&gt;0, MAX($C$2:C2080)+1, "")</f>
        <v>2079</v>
      </c>
      <c r="D2081" t="str">
        <f t="shared" si="32"/>
        <v/>
      </c>
    </row>
    <row r="2082" spans="1:4">
      <c r="A2082" s="42" t="s">
        <v>2144</v>
      </c>
      <c r="B2082">
        <f>IFERROR(FIND('Simulador IR 2025'!$I$29, A2082), 0)</f>
        <v>1</v>
      </c>
      <c r="C2082">
        <f>IF(B2082&gt;0, MAX($C$2:C2081)+1, "")</f>
        <v>2080</v>
      </c>
      <c r="D2082" t="str">
        <f t="shared" si="32"/>
        <v/>
      </c>
    </row>
    <row r="2083" spans="1:4">
      <c r="A2083" s="42" t="s">
        <v>2145</v>
      </c>
      <c r="B2083">
        <f>IFERROR(FIND('Simulador IR 2025'!$I$29, A2083), 0)</f>
        <v>1</v>
      </c>
      <c r="C2083">
        <f>IF(B2083&gt;0, MAX($C$2:C2082)+1, "")</f>
        <v>2081</v>
      </c>
      <c r="D2083" t="str">
        <f t="shared" si="32"/>
        <v/>
      </c>
    </row>
    <row r="2084" spans="1:4">
      <c r="A2084" s="42" t="s">
        <v>2146</v>
      </c>
      <c r="B2084">
        <f>IFERROR(FIND('Simulador IR 2025'!$I$29, A2084), 0)</f>
        <v>1</v>
      </c>
      <c r="C2084">
        <f>IF(B2084&gt;0, MAX($C$2:C2083)+1, "")</f>
        <v>2082</v>
      </c>
      <c r="D2084" t="str">
        <f t="shared" si="32"/>
        <v/>
      </c>
    </row>
    <row r="2085" spans="1:4">
      <c r="A2085" s="42" t="s">
        <v>2147</v>
      </c>
      <c r="B2085">
        <f>IFERROR(FIND('Simulador IR 2025'!$I$29, A2085), 0)</f>
        <v>1</v>
      </c>
      <c r="C2085">
        <f>IF(B2085&gt;0, MAX($C$2:C2084)+1, "")</f>
        <v>2083</v>
      </c>
      <c r="D2085" t="str">
        <f t="shared" si="32"/>
        <v/>
      </c>
    </row>
    <row r="2086" spans="1:4">
      <c r="A2086" s="42" t="s">
        <v>2148</v>
      </c>
      <c r="B2086">
        <f>IFERROR(FIND('Simulador IR 2025'!$I$29, A2086), 0)</f>
        <v>1</v>
      </c>
      <c r="C2086">
        <f>IF(B2086&gt;0, MAX($C$2:C2085)+1, "")</f>
        <v>2084</v>
      </c>
      <c r="D2086" t="str">
        <f t="shared" si="32"/>
        <v/>
      </c>
    </row>
    <row r="2087" spans="1:4">
      <c r="A2087" s="42" t="s">
        <v>2149</v>
      </c>
      <c r="B2087">
        <f>IFERROR(FIND('Simulador IR 2025'!$I$29, A2087), 0)</f>
        <v>1</v>
      </c>
      <c r="C2087">
        <f>IF(B2087&gt;0, MAX($C$2:C2086)+1, "")</f>
        <v>2085</v>
      </c>
      <c r="D2087" t="str">
        <f t="shared" si="32"/>
        <v/>
      </c>
    </row>
    <row r="2088" spans="1:4">
      <c r="A2088" s="42" t="s">
        <v>2150</v>
      </c>
      <c r="B2088">
        <f>IFERROR(FIND('Simulador IR 2025'!$I$29, A2088), 0)</f>
        <v>1</v>
      </c>
      <c r="C2088">
        <f>IF(B2088&gt;0, MAX($C$2:C2087)+1, "")</f>
        <v>2086</v>
      </c>
      <c r="D2088" t="str">
        <f t="shared" si="32"/>
        <v/>
      </c>
    </row>
    <row r="2089" spans="1:4">
      <c r="A2089" s="42" t="s">
        <v>2151</v>
      </c>
      <c r="B2089">
        <f>IFERROR(FIND('Simulador IR 2025'!$I$29, A2089), 0)</f>
        <v>1</v>
      </c>
      <c r="C2089">
        <f>IF(B2089&gt;0, MAX($C$2:C2088)+1, "")</f>
        <v>2087</v>
      </c>
      <c r="D2089" t="str">
        <f t="shared" si="32"/>
        <v/>
      </c>
    </row>
    <row r="2090" spans="1:4">
      <c r="A2090" s="42" t="s">
        <v>2152</v>
      </c>
      <c r="B2090">
        <f>IFERROR(FIND('Simulador IR 2025'!$I$29, A2090), 0)</f>
        <v>1</v>
      </c>
      <c r="C2090">
        <f>IF(B2090&gt;0, MAX($C$2:C2089)+1, "")</f>
        <v>2088</v>
      </c>
      <c r="D2090" t="str">
        <f t="shared" si="32"/>
        <v/>
      </c>
    </row>
    <row r="2091" spans="1:4">
      <c r="A2091" s="42" t="s">
        <v>2153</v>
      </c>
      <c r="B2091">
        <f>IFERROR(FIND('Simulador IR 2025'!$I$29, A2091), 0)</f>
        <v>1</v>
      </c>
      <c r="C2091">
        <f>IF(B2091&gt;0, MAX($C$2:C2090)+1, "")</f>
        <v>2089</v>
      </c>
      <c r="D2091" t="str">
        <f t="shared" si="32"/>
        <v/>
      </c>
    </row>
    <row r="2092" spans="1:4">
      <c r="A2092" s="42" t="s">
        <v>2154</v>
      </c>
      <c r="B2092">
        <f>IFERROR(FIND('Simulador IR 2025'!$I$29, A2092), 0)</f>
        <v>1</v>
      </c>
      <c r="C2092">
        <f>IF(B2092&gt;0, MAX($C$2:C2091)+1, "")</f>
        <v>2090</v>
      </c>
      <c r="D2092" t="str">
        <f t="shared" si="32"/>
        <v/>
      </c>
    </row>
    <row r="2093" spans="1:4">
      <c r="A2093" s="42" t="s">
        <v>2155</v>
      </c>
      <c r="B2093">
        <f>IFERROR(FIND('Simulador IR 2025'!$I$29, A2093), 0)</f>
        <v>1</v>
      </c>
      <c r="C2093">
        <f>IF(B2093&gt;0, MAX($C$2:C2092)+1, "")</f>
        <v>2091</v>
      </c>
      <c r="D2093" t="str">
        <f t="shared" si="32"/>
        <v/>
      </c>
    </row>
    <row r="2094" spans="1:4">
      <c r="A2094" s="42" t="s">
        <v>2156</v>
      </c>
      <c r="B2094">
        <f>IFERROR(FIND('Simulador IR 2025'!$I$29, A2094), 0)</f>
        <v>1</v>
      </c>
      <c r="C2094">
        <f>IF(B2094&gt;0, MAX($C$2:C2093)+1, "")</f>
        <v>2092</v>
      </c>
      <c r="D2094" t="str">
        <f t="shared" si="32"/>
        <v/>
      </c>
    </row>
    <row r="2095" spans="1:4">
      <c r="A2095" s="42" t="s">
        <v>2157</v>
      </c>
      <c r="B2095">
        <f>IFERROR(FIND('Simulador IR 2025'!$I$29, A2095), 0)</f>
        <v>1</v>
      </c>
      <c r="C2095">
        <f>IF(B2095&gt;0, MAX($C$2:C2094)+1, "")</f>
        <v>2093</v>
      </c>
      <c r="D2095" t="str">
        <f t="shared" si="32"/>
        <v/>
      </c>
    </row>
    <row r="2096" spans="1:4">
      <c r="A2096" s="42" t="s">
        <v>2158</v>
      </c>
      <c r="B2096">
        <f>IFERROR(FIND('Simulador IR 2025'!$I$29, A2096), 0)</f>
        <v>1</v>
      </c>
      <c r="C2096">
        <f>IF(B2096&gt;0, MAX($C$2:C2095)+1, "")</f>
        <v>2094</v>
      </c>
      <c r="D2096" t="str">
        <f t="shared" si="32"/>
        <v/>
      </c>
    </row>
    <row r="2097" spans="1:4">
      <c r="A2097" s="42" t="s">
        <v>2159</v>
      </c>
      <c r="B2097">
        <f>IFERROR(FIND('Simulador IR 2025'!$I$29, A2097), 0)</f>
        <v>1</v>
      </c>
      <c r="C2097">
        <f>IF(B2097&gt;0, MAX($C$2:C2096)+1, "")</f>
        <v>2095</v>
      </c>
      <c r="D2097" t="str">
        <f t="shared" si="32"/>
        <v/>
      </c>
    </row>
    <row r="2098" spans="1:4">
      <c r="A2098" s="42" t="s">
        <v>2160</v>
      </c>
      <c r="B2098">
        <f>IFERROR(FIND('Simulador IR 2025'!$I$29, A2098), 0)</f>
        <v>1</v>
      </c>
      <c r="C2098">
        <f>IF(B2098&gt;0, MAX($C$2:C2097)+1, "")</f>
        <v>2096</v>
      </c>
      <c r="D2098" t="str">
        <f t="shared" si="32"/>
        <v/>
      </c>
    </row>
    <row r="2099" spans="1:4">
      <c r="A2099" s="42" t="s">
        <v>2161</v>
      </c>
      <c r="B2099">
        <f>IFERROR(FIND('Simulador IR 2025'!$I$29, A2099), 0)</f>
        <v>1</v>
      </c>
      <c r="C2099">
        <f>IF(B2099&gt;0, MAX($C$2:C2098)+1, "")</f>
        <v>2097</v>
      </c>
      <c r="D2099" t="str">
        <f t="shared" si="32"/>
        <v/>
      </c>
    </row>
    <row r="2100" spans="1:4">
      <c r="A2100" s="42" t="s">
        <v>2162</v>
      </c>
      <c r="B2100">
        <f>IFERROR(FIND('Simulador IR 2025'!$I$29, A2100), 0)</f>
        <v>1</v>
      </c>
      <c r="C2100">
        <f>IF(B2100&gt;0, MAX($C$2:C2099)+1, "")</f>
        <v>2098</v>
      </c>
      <c r="D2100" t="str">
        <f t="shared" si="32"/>
        <v/>
      </c>
    </row>
    <row r="2101" spans="1:4">
      <c r="A2101" s="42" t="s">
        <v>2163</v>
      </c>
      <c r="B2101">
        <f>IFERROR(FIND('Simulador IR 2025'!$I$29, A2101), 0)</f>
        <v>1</v>
      </c>
      <c r="C2101">
        <f>IF(B2101&gt;0, MAX($C$2:C2100)+1, "")</f>
        <v>2099</v>
      </c>
      <c r="D2101" t="str">
        <f t="shared" si="32"/>
        <v/>
      </c>
    </row>
    <row r="2102" spans="1:4">
      <c r="A2102" s="42" t="s">
        <v>2164</v>
      </c>
      <c r="B2102">
        <f>IFERROR(FIND('Simulador IR 2025'!$I$29, A2102), 0)</f>
        <v>1</v>
      </c>
      <c r="C2102">
        <f>IF(B2102&gt;0, MAX($C$2:C2101)+1, "")</f>
        <v>2100</v>
      </c>
      <c r="D2102" t="str">
        <f t="shared" si="32"/>
        <v/>
      </c>
    </row>
    <row r="2103" spans="1:4">
      <c r="A2103" s="42" t="s">
        <v>2165</v>
      </c>
      <c r="B2103">
        <f>IFERROR(FIND('Simulador IR 2025'!$I$29, A2103), 0)</f>
        <v>1</v>
      </c>
      <c r="C2103">
        <f>IF(B2103&gt;0, MAX($C$2:C2102)+1, "")</f>
        <v>2101</v>
      </c>
      <c r="D2103" t="str">
        <f t="shared" si="32"/>
        <v/>
      </c>
    </row>
    <row r="2104" spans="1:4">
      <c r="A2104" s="42" t="s">
        <v>2166</v>
      </c>
      <c r="B2104">
        <f>IFERROR(FIND('Simulador IR 2025'!$I$29, A2104), 0)</f>
        <v>1</v>
      </c>
      <c r="C2104">
        <f>IF(B2104&gt;0, MAX($C$2:C2103)+1, "")</f>
        <v>2102</v>
      </c>
      <c r="D2104" t="str">
        <f t="shared" si="32"/>
        <v/>
      </c>
    </row>
    <row r="2105" spans="1:4">
      <c r="A2105" s="42" t="s">
        <v>2167</v>
      </c>
      <c r="B2105">
        <f>IFERROR(FIND('Simulador IR 2025'!$I$29, A2105), 0)</f>
        <v>1</v>
      </c>
      <c r="C2105">
        <f>IF(B2105&gt;0, MAX($C$2:C2104)+1, "")</f>
        <v>2103</v>
      </c>
      <c r="D2105" t="str">
        <f t="shared" si="32"/>
        <v/>
      </c>
    </row>
    <row r="2106" spans="1:4">
      <c r="A2106" s="42" t="s">
        <v>2168</v>
      </c>
      <c r="B2106">
        <f>IFERROR(FIND('Simulador IR 2025'!$I$29, A2106), 0)</f>
        <v>1</v>
      </c>
      <c r="C2106">
        <f>IF(B2106&gt;0, MAX($C$2:C2105)+1, "")</f>
        <v>2104</v>
      </c>
      <c r="D2106" t="str">
        <f t="shared" si="32"/>
        <v/>
      </c>
    </row>
    <row r="2107" spans="1:4">
      <c r="A2107" s="42" t="s">
        <v>2169</v>
      </c>
      <c r="B2107">
        <f>IFERROR(FIND('Simulador IR 2025'!$I$29, A2107), 0)</f>
        <v>1</v>
      </c>
      <c r="C2107">
        <f>IF(B2107&gt;0, MAX($C$2:C2106)+1, "")</f>
        <v>2105</v>
      </c>
      <c r="D2107" t="str">
        <f t="shared" si="32"/>
        <v/>
      </c>
    </row>
    <row r="2108" spans="1:4">
      <c r="A2108" s="42" t="s">
        <v>2170</v>
      </c>
      <c r="B2108">
        <f>IFERROR(FIND('Simulador IR 2025'!$I$29, A2108), 0)</f>
        <v>1</v>
      </c>
      <c r="C2108">
        <f>IF(B2108&gt;0, MAX($C$2:C2107)+1, "")</f>
        <v>2106</v>
      </c>
      <c r="D2108" t="str">
        <f t="shared" si="32"/>
        <v/>
      </c>
    </row>
    <row r="2109" spans="1:4">
      <c r="A2109" s="42" t="s">
        <v>2171</v>
      </c>
      <c r="B2109">
        <f>IFERROR(FIND('Simulador IR 2025'!$I$29, A2109), 0)</f>
        <v>1</v>
      </c>
      <c r="C2109">
        <f>IF(B2109&gt;0, MAX($C$2:C2108)+1, "")</f>
        <v>2107</v>
      </c>
      <c r="D2109" t="str">
        <f t="shared" si="32"/>
        <v/>
      </c>
    </row>
    <row r="2110" spans="1:4">
      <c r="A2110" s="42" t="s">
        <v>2172</v>
      </c>
      <c r="B2110">
        <f>IFERROR(FIND('Simulador IR 2025'!$I$29, A2110), 0)</f>
        <v>1</v>
      </c>
      <c r="C2110">
        <f>IF(B2110&gt;0, MAX($C$2:C2109)+1, "")</f>
        <v>2108</v>
      </c>
      <c r="D2110" t="str">
        <f t="shared" si="32"/>
        <v/>
      </c>
    </row>
    <row r="2111" spans="1:4">
      <c r="A2111" s="42" t="s">
        <v>2173</v>
      </c>
      <c r="B2111">
        <f>IFERROR(FIND('Simulador IR 2025'!$I$29, A2111), 0)</f>
        <v>1</v>
      </c>
      <c r="C2111">
        <f>IF(B2111&gt;0, MAX($C$2:C2110)+1, "")</f>
        <v>2109</v>
      </c>
      <c r="D2111" t="str">
        <f t="shared" si="32"/>
        <v/>
      </c>
    </row>
    <row r="2112" spans="1:4">
      <c r="A2112" s="42" t="s">
        <v>2174</v>
      </c>
      <c r="B2112">
        <f>IFERROR(FIND('Simulador IR 2025'!$I$29, A2112), 0)</f>
        <v>1</v>
      </c>
      <c r="C2112">
        <f>IF(B2112&gt;0, MAX($C$2:C2111)+1, "")</f>
        <v>2110</v>
      </c>
      <c r="D2112" t="str">
        <f t="shared" si="32"/>
        <v/>
      </c>
    </row>
    <row r="2113" spans="1:4">
      <c r="A2113" s="42" t="s">
        <v>2175</v>
      </c>
      <c r="B2113">
        <f>IFERROR(FIND('Simulador IR 2025'!$I$29, A2113), 0)</f>
        <v>1</v>
      </c>
      <c r="C2113">
        <f>IF(B2113&gt;0, MAX($C$2:C2112)+1, "")</f>
        <v>2111</v>
      </c>
      <c r="D2113" t="str">
        <f t="shared" si="32"/>
        <v/>
      </c>
    </row>
    <row r="2114" spans="1:4">
      <c r="A2114" s="42" t="s">
        <v>2176</v>
      </c>
      <c r="B2114">
        <f>IFERROR(FIND('Simulador IR 2025'!$I$29, A2114), 0)</f>
        <v>1</v>
      </c>
      <c r="C2114">
        <f>IF(B2114&gt;0, MAX($C$2:C2113)+1, "")</f>
        <v>2112</v>
      </c>
      <c r="D2114" t="str">
        <f t="shared" si="32"/>
        <v/>
      </c>
    </row>
    <row r="2115" spans="1:4">
      <c r="A2115" s="42" t="s">
        <v>2177</v>
      </c>
      <c r="B2115">
        <f>IFERROR(FIND('Simulador IR 2025'!$I$29, A2115), 0)</f>
        <v>1</v>
      </c>
      <c r="C2115">
        <f>IF(B2115&gt;0, MAX($C$2:C2114)+1, "")</f>
        <v>2113</v>
      </c>
      <c r="D2115" t="str">
        <f t="shared" si="32"/>
        <v/>
      </c>
    </row>
    <row r="2116" spans="1:4">
      <c r="A2116" s="42" t="s">
        <v>2178</v>
      </c>
      <c r="B2116">
        <f>IFERROR(FIND('Simulador IR 2025'!$I$29, A2116), 0)</f>
        <v>1</v>
      </c>
      <c r="C2116">
        <f>IF(B2116&gt;0, MAX($C$2:C2115)+1, "")</f>
        <v>2114</v>
      </c>
      <c r="D2116" t="str">
        <f t="shared" ref="D2116:D2179" si="33">IFERROR(VLOOKUP(ROW(A2114), $A$3:$C$2681, -2, FALSE), "")</f>
        <v/>
      </c>
    </row>
    <row r="2117" spans="1:4">
      <c r="A2117" s="42" t="s">
        <v>2179</v>
      </c>
      <c r="B2117">
        <f>IFERROR(FIND('Simulador IR 2025'!$I$29, A2117), 0)</f>
        <v>1</v>
      </c>
      <c r="C2117">
        <f>IF(B2117&gt;0, MAX($C$2:C2116)+1, "")</f>
        <v>2115</v>
      </c>
      <c r="D2117" t="str">
        <f t="shared" si="33"/>
        <v/>
      </c>
    </row>
    <row r="2118" spans="1:4">
      <c r="A2118" s="42" t="s">
        <v>2180</v>
      </c>
      <c r="B2118">
        <f>IFERROR(FIND('Simulador IR 2025'!$I$29, A2118), 0)</f>
        <v>1</v>
      </c>
      <c r="C2118">
        <f>IF(B2118&gt;0, MAX($C$2:C2117)+1, "")</f>
        <v>2116</v>
      </c>
      <c r="D2118" t="str">
        <f t="shared" si="33"/>
        <v/>
      </c>
    </row>
    <row r="2119" spans="1:4">
      <c r="A2119" s="42" t="s">
        <v>2181</v>
      </c>
      <c r="B2119">
        <f>IFERROR(FIND('Simulador IR 2025'!$I$29, A2119), 0)</f>
        <v>1</v>
      </c>
      <c r="C2119">
        <f>IF(B2119&gt;0, MAX($C$2:C2118)+1, "")</f>
        <v>2117</v>
      </c>
      <c r="D2119" t="str">
        <f t="shared" si="33"/>
        <v/>
      </c>
    </row>
    <row r="2120" spans="1:4">
      <c r="A2120" s="42" t="s">
        <v>2182</v>
      </c>
      <c r="B2120">
        <f>IFERROR(FIND('Simulador IR 2025'!$I$29, A2120), 0)</f>
        <v>1</v>
      </c>
      <c r="C2120">
        <f>IF(B2120&gt;0, MAX($C$2:C2119)+1, "")</f>
        <v>2118</v>
      </c>
      <c r="D2120" t="str">
        <f t="shared" si="33"/>
        <v/>
      </c>
    </row>
    <row r="2121" spans="1:4">
      <c r="A2121" s="42" t="s">
        <v>2183</v>
      </c>
      <c r="B2121">
        <f>IFERROR(FIND('Simulador IR 2025'!$I$29, A2121), 0)</f>
        <v>1</v>
      </c>
      <c r="C2121">
        <f>IF(B2121&gt;0, MAX($C$2:C2120)+1, "")</f>
        <v>2119</v>
      </c>
      <c r="D2121" t="str">
        <f t="shared" si="33"/>
        <v/>
      </c>
    </row>
    <row r="2122" spans="1:4">
      <c r="A2122" s="42" t="s">
        <v>2184</v>
      </c>
      <c r="B2122">
        <f>IFERROR(FIND('Simulador IR 2025'!$I$29, A2122), 0)</f>
        <v>1</v>
      </c>
      <c r="C2122">
        <f>IF(B2122&gt;0, MAX($C$2:C2121)+1, "")</f>
        <v>2120</v>
      </c>
      <c r="D2122" t="str">
        <f t="shared" si="33"/>
        <v/>
      </c>
    </row>
    <row r="2123" spans="1:4">
      <c r="A2123" s="42" t="s">
        <v>2185</v>
      </c>
      <c r="B2123">
        <f>IFERROR(FIND('Simulador IR 2025'!$I$29, A2123), 0)</f>
        <v>1</v>
      </c>
      <c r="C2123">
        <f>IF(B2123&gt;0, MAX($C$2:C2122)+1, "")</f>
        <v>2121</v>
      </c>
      <c r="D2123" t="str">
        <f t="shared" si="33"/>
        <v/>
      </c>
    </row>
    <row r="2124" spans="1:4">
      <c r="A2124" s="42" t="s">
        <v>2186</v>
      </c>
      <c r="B2124">
        <f>IFERROR(FIND('Simulador IR 2025'!$I$29, A2124), 0)</f>
        <v>1</v>
      </c>
      <c r="C2124">
        <f>IF(B2124&gt;0, MAX($C$2:C2123)+1, "")</f>
        <v>2122</v>
      </c>
      <c r="D2124" t="str">
        <f t="shared" si="33"/>
        <v/>
      </c>
    </row>
    <row r="2125" spans="1:4">
      <c r="A2125" s="42" t="s">
        <v>2187</v>
      </c>
      <c r="B2125">
        <f>IFERROR(FIND('Simulador IR 2025'!$I$29, A2125), 0)</f>
        <v>1</v>
      </c>
      <c r="C2125">
        <f>IF(B2125&gt;0, MAX($C$2:C2124)+1, "")</f>
        <v>2123</v>
      </c>
      <c r="D2125" t="str">
        <f t="shared" si="33"/>
        <v/>
      </c>
    </row>
    <row r="2126" spans="1:4">
      <c r="A2126" s="42" t="s">
        <v>2188</v>
      </c>
      <c r="B2126">
        <f>IFERROR(FIND('Simulador IR 2025'!$I$29, A2126), 0)</f>
        <v>1</v>
      </c>
      <c r="C2126">
        <f>IF(B2126&gt;0, MAX($C$2:C2125)+1, "")</f>
        <v>2124</v>
      </c>
      <c r="D2126" t="str">
        <f t="shared" si="33"/>
        <v/>
      </c>
    </row>
    <row r="2127" spans="1:4">
      <c r="A2127" s="42" t="s">
        <v>2189</v>
      </c>
      <c r="B2127">
        <f>IFERROR(FIND('Simulador IR 2025'!$I$29, A2127), 0)</f>
        <v>1</v>
      </c>
      <c r="C2127">
        <f>IF(B2127&gt;0, MAX($C$2:C2126)+1, "")</f>
        <v>2125</v>
      </c>
      <c r="D2127" t="str">
        <f t="shared" si="33"/>
        <v/>
      </c>
    </row>
    <row r="2128" spans="1:4">
      <c r="A2128" s="42" t="s">
        <v>2190</v>
      </c>
      <c r="B2128">
        <f>IFERROR(FIND('Simulador IR 2025'!$I$29, A2128), 0)</f>
        <v>1</v>
      </c>
      <c r="C2128">
        <f>IF(B2128&gt;0, MAX($C$2:C2127)+1, "")</f>
        <v>2126</v>
      </c>
      <c r="D2128" t="str">
        <f t="shared" si="33"/>
        <v/>
      </c>
    </row>
    <row r="2129" spans="1:4">
      <c r="A2129" s="42" t="s">
        <v>2191</v>
      </c>
      <c r="B2129">
        <f>IFERROR(FIND('Simulador IR 2025'!$I$29, A2129), 0)</f>
        <v>1</v>
      </c>
      <c r="C2129">
        <f>IF(B2129&gt;0, MAX($C$2:C2128)+1, "")</f>
        <v>2127</v>
      </c>
      <c r="D2129" t="str">
        <f t="shared" si="33"/>
        <v/>
      </c>
    </row>
    <row r="2130" spans="1:4">
      <c r="A2130" s="42" t="s">
        <v>2192</v>
      </c>
      <c r="B2130">
        <f>IFERROR(FIND('Simulador IR 2025'!$I$29, A2130), 0)</f>
        <v>1</v>
      </c>
      <c r="C2130">
        <f>IF(B2130&gt;0, MAX($C$2:C2129)+1, "")</f>
        <v>2128</v>
      </c>
      <c r="D2130" t="str">
        <f t="shared" si="33"/>
        <v/>
      </c>
    </row>
    <row r="2131" spans="1:4">
      <c r="A2131" s="42" t="s">
        <v>2193</v>
      </c>
      <c r="B2131">
        <f>IFERROR(FIND('Simulador IR 2025'!$I$29, A2131), 0)</f>
        <v>1</v>
      </c>
      <c r="C2131">
        <f>IF(B2131&gt;0, MAX($C$2:C2130)+1, "")</f>
        <v>2129</v>
      </c>
      <c r="D2131" t="str">
        <f t="shared" si="33"/>
        <v/>
      </c>
    </row>
    <row r="2132" spans="1:4">
      <c r="A2132" s="42" t="s">
        <v>2194</v>
      </c>
      <c r="B2132">
        <f>IFERROR(FIND('Simulador IR 2025'!$I$29, A2132), 0)</f>
        <v>1</v>
      </c>
      <c r="C2132">
        <f>IF(B2132&gt;0, MAX($C$2:C2131)+1, "")</f>
        <v>2130</v>
      </c>
      <c r="D2132" t="str">
        <f t="shared" si="33"/>
        <v/>
      </c>
    </row>
    <row r="2133" spans="1:4">
      <c r="A2133" s="42" t="s">
        <v>2195</v>
      </c>
      <c r="B2133">
        <f>IFERROR(FIND('Simulador IR 2025'!$I$29, A2133), 0)</f>
        <v>1</v>
      </c>
      <c r="C2133">
        <f>IF(B2133&gt;0, MAX($C$2:C2132)+1, "")</f>
        <v>2131</v>
      </c>
      <c r="D2133" t="str">
        <f t="shared" si="33"/>
        <v/>
      </c>
    </row>
    <row r="2134" spans="1:4">
      <c r="A2134" s="42" t="s">
        <v>2196</v>
      </c>
      <c r="B2134">
        <f>IFERROR(FIND('Simulador IR 2025'!$I$29, A2134), 0)</f>
        <v>1</v>
      </c>
      <c r="C2134">
        <f>IF(B2134&gt;0, MAX($C$2:C2133)+1, "")</f>
        <v>2132</v>
      </c>
      <c r="D2134" t="str">
        <f t="shared" si="33"/>
        <v/>
      </c>
    </row>
    <row r="2135" spans="1:4">
      <c r="A2135" s="42" t="s">
        <v>2197</v>
      </c>
      <c r="B2135">
        <f>IFERROR(FIND('Simulador IR 2025'!$I$29, A2135), 0)</f>
        <v>1</v>
      </c>
      <c r="C2135">
        <f>IF(B2135&gt;0, MAX($C$2:C2134)+1, "")</f>
        <v>2133</v>
      </c>
      <c r="D2135" t="str">
        <f t="shared" si="33"/>
        <v/>
      </c>
    </row>
    <row r="2136" spans="1:4">
      <c r="A2136" s="42" t="s">
        <v>2198</v>
      </c>
      <c r="B2136">
        <f>IFERROR(FIND('Simulador IR 2025'!$I$29, A2136), 0)</f>
        <v>1</v>
      </c>
      <c r="C2136">
        <f>IF(B2136&gt;0, MAX($C$2:C2135)+1, "")</f>
        <v>2134</v>
      </c>
      <c r="D2136" t="str">
        <f t="shared" si="33"/>
        <v/>
      </c>
    </row>
    <row r="2137" spans="1:4">
      <c r="A2137" s="42" t="s">
        <v>2199</v>
      </c>
      <c r="B2137">
        <f>IFERROR(FIND('Simulador IR 2025'!$I$29, A2137), 0)</f>
        <v>1</v>
      </c>
      <c r="C2137">
        <f>IF(B2137&gt;0, MAX($C$2:C2136)+1, "")</f>
        <v>2135</v>
      </c>
      <c r="D2137" t="str">
        <f t="shared" si="33"/>
        <v/>
      </c>
    </row>
    <row r="2138" spans="1:4">
      <c r="A2138" s="42" t="s">
        <v>2200</v>
      </c>
      <c r="B2138">
        <f>IFERROR(FIND('Simulador IR 2025'!$I$29, A2138), 0)</f>
        <v>1</v>
      </c>
      <c r="C2138">
        <f>IF(B2138&gt;0, MAX($C$2:C2137)+1, "")</f>
        <v>2136</v>
      </c>
      <c r="D2138" t="str">
        <f t="shared" si="33"/>
        <v/>
      </c>
    </row>
    <row r="2139" spans="1:4">
      <c r="A2139" s="42" t="s">
        <v>2201</v>
      </c>
      <c r="B2139">
        <f>IFERROR(FIND('Simulador IR 2025'!$I$29, A2139), 0)</f>
        <v>1</v>
      </c>
      <c r="C2139">
        <f>IF(B2139&gt;0, MAX($C$2:C2138)+1, "")</f>
        <v>2137</v>
      </c>
      <c r="D2139" t="str">
        <f t="shared" si="33"/>
        <v/>
      </c>
    </row>
    <row r="2140" spans="1:4">
      <c r="A2140" s="42" t="s">
        <v>2202</v>
      </c>
      <c r="B2140">
        <f>IFERROR(FIND('Simulador IR 2025'!$I$29, A2140), 0)</f>
        <v>1</v>
      </c>
      <c r="C2140">
        <f>IF(B2140&gt;0, MAX($C$2:C2139)+1, "")</f>
        <v>2138</v>
      </c>
      <c r="D2140" t="str">
        <f t="shared" si="33"/>
        <v/>
      </c>
    </row>
    <row r="2141" spans="1:4">
      <c r="A2141" s="42" t="s">
        <v>2203</v>
      </c>
      <c r="B2141">
        <f>IFERROR(FIND('Simulador IR 2025'!$I$29, A2141), 0)</f>
        <v>1</v>
      </c>
      <c r="C2141">
        <f>IF(B2141&gt;0, MAX($C$2:C2140)+1, "")</f>
        <v>2139</v>
      </c>
      <c r="D2141" t="str">
        <f t="shared" si="33"/>
        <v/>
      </c>
    </row>
    <row r="2142" spans="1:4">
      <c r="A2142" s="42" t="s">
        <v>2204</v>
      </c>
      <c r="B2142">
        <f>IFERROR(FIND('Simulador IR 2025'!$I$29, A2142), 0)</f>
        <v>1</v>
      </c>
      <c r="C2142">
        <f>IF(B2142&gt;0, MAX($C$2:C2141)+1, "")</f>
        <v>2140</v>
      </c>
      <c r="D2142" t="str">
        <f t="shared" si="33"/>
        <v/>
      </c>
    </row>
    <row r="2143" spans="1:4">
      <c r="A2143" s="42" t="s">
        <v>2205</v>
      </c>
      <c r="B2143">
        <f>IFERROR(FIND('Simulador IR 2025'!$I$29, A2143), 0)</f>
        <v>1</v>
      </c>
      <c r="C2143">
        <f>IF(B2143&gt;0, MAX($C$2:C2142)+1, "")</f>
        <v>2141</v>
      </c>
      <c r="D2143" t="str">
        <f t="shared" si="33"/>
        <v/>
      </c>
    </row>
    <row r="2144" spans="1:4">
      <c r="A2144" s="42" t="s">
        <v>2206</v>
      </c>
      <c r="B2144">
        <f>IFERROR(FIND('Simulador IR 2025'!$I$29, A2144), 0)</f>
        <v>1</v>
      </c>
      <c r="C2144">
        <f>IF(B2144&gt;0, MAX($C$2:C2143)+1, "")</f>
        <v>2142</v>
      </c>
      <c r="D2144" t="str">
        <f t="shared" si="33"/>
        <v/>
      </c>
    </row>
    <row r="2145" spans="1:4">
      <c r="A2145" s="42" t="s">
        <v>2207</v>
      </c>
      <c r="B2145">
        <f>IFERROR(FIND('Simulador IR 2025'!$I$29, A2145), 0)</f>
        <v>1</v>
      </c>
      <c r="C2145">
        <f>IF(B2145&gt;0, MAX($C$2:C2144)+1, "")</f>
        <v>2143</v>
      </c>
      <c r="D2145" t="str">
        <f t="shared" si="33"/>
        <v/>
      </c>
    </row>
    <row r="2146" spans="1:4">
      <c r="A2146" s="42" t="s">
        <v>2208</v>
      </c>
      <c r="B2146">
        <f>IFERROR(FIND('Simulador IR 2025'!$I$29, A2146), 0)</f>
        <v>1</v>
      </c>
      <c r="C2146">
        <f>IF(B2146&gt;0, MAX($C$2:C2145)+1, "")</f>
        <v>2144</v>
      </c>
      <c r="D2146" t="str">
        <f t="shared" si="33"/>
        <v/>
      </c>
    </row>
    <row r="2147" spans="1:4">
      <c r="A2147" s="42" t="s">
        <v>2209</v>
      </c>
      <c r="B2147">
        <f>IFERROR(FIND('Simulador IR 2025'!$I$29, A2147), 0)</f>
        <v>1</v>
      </c>
      <c r="C2147">
        <f>IF(B2147&gt;0, MAX($C$2:C2146)+1, "")</f>
        <v>2145</v>
      </c>
      <c r="D2147" t="str">
        <f t="shared" si="33"/>
        <v/>
      </c>
    </row>
    <row r="2148" spans="1:4">
      <c r="A2148" s="42" t="s">
        <v>2210</v>
      </c>
      <c r="B2148">
        <f>IFERROR(FIND('Simulador IR 2025'!$I$29, A2148), 0)</f>
        <v>1</v>
      </c>
      <c r="C2148">
        <f>IF(B2148&gt;0, MAX($C$2:C2147)+1, "")</f>
        <v>2146</v>
      </c>
      <c r="D2148" t="str">
        <f t="shared" si="33"/>
        <v/>
      </c>
    </row>
    <row r="2149" spans="1:4">
      <c r="A2149" s="42" t="s">
        <v>2211</v>
      </c>
      <c r="B2149">
        <f>IFERROR(FIND('Simulador IR 2025'!$I$29, A2149), 0)</f>
        <v>1</v>
      </c>
      <c r="C2149">
        <f>IF(B2149&gt;0, MAX($C$2:C2148)+1, "")</f>
        <v>2147</v>
      </c>
      <c r="D2149" t="str">
        <f t="shared" si="33"/>
        <v/>
      </c>
    </row>
    <row r="2150" spans="1:4">
      <c r="A2150" s="42" t="s">
        <v>2212</v>
      </c>
      <c r="B2150">
        <f>IFERROR(FIND('Simulador IR 2025'!$I$29, A2150), 0)</f>
        <v>1</v>
      </c>
      <c r="C2150">
        <f>IF(B2150&gt;0, MAX($C$2:C2149)+1, "")</f>
        <v>2148</v>
      </c>
      <c r="D2150" t="str">
        <f t="shared" si="33"/>
        <v/>
      </c>
    </row>
    <row r="2151" spans="1:4">
      <c r="A2151" s="42" t="s">
        <v>2213</v>
      </c>
      <c r="B2151">
        <f>IFERROR(FIND('Simulador IR 2025'!$I$29, A2151), 0)</f>
        <v>1</v>
      </c>
      <c r="C2151">
        <f>IF(B2151&gt;0, MAX($C$2:C2150)+1, "")</f>
        <v>2149</v>
      </c>
      <c r="D2151" t="str">
        <f t="shared" si="33"/>
        <v/>
      </c>
    </row>
    <row r="2152" spans="1:4">
      <c r="A2152" s="42" t="s">
        <v>2214</v>
      </c>
      <c r="B2152">
        <f>IFERROR(FIND('Simulador IR 2025'!$I$29, A2152), 0)</f>
        <v>1</v>
      </c>
      <c r="C2152">
        <f>IF(B2152&gt;0, MAX($C$2:C2151)+1, "")</f>
        <v>2150</v>
      </c>
      <c r="D2152" t="str">
        <f t="shared" si="33"/>
        <v/>
      </c>
    </row>
    <row r="2153" spans="1:4">
      <c r="A2153" s="42" t="s">
        <v>2215</v>
      </c>
      <c r="B2153">
        <f>IFERROR(FIND('Simulador IR 2025'!$I$29, A2153), 0)</f>
        <v>1</v>
      </c>
      <c r="C2153">
        <f>IF(B2153&gt;0, MAX($C$2:C2152)+1, "")</f>
        <v>2151</v>
      </c>
      <c r="D2153" t="str">
        <f t="shared" si="33"/>
        <v/>
      </c>
    </row>
    <row r="2154" spans="1:4">
      <c r="A2154" s="42" t="s">
        <v>2216</v>
      </c>
      <c r="B2154">
        <f>IFERROR(FIND('Simulador IR 2025'!$I$29, A2154), 0)</f>
        <v>1</v>
      </c>
      <c r="C2154">
        <f>IF(B2154&gt;0, MAX($C$2:C2153)+1, "")</f>
        <v>2152</v>
      </c>
      <c r="D2154" t="str">
        <f t="shared" si="33"/>
        <v/>
      </c>
    </row>
    <row r="2155" spans="1:4">
      <c r="A2155" s="42" t="s">
        <v>2217</v>
      </c>
      <c r="B2155">
        <f>IFERROR(FIND('Simulador IR 2025'!$I$29, A2155), 0)</f>
        <v>1</v>
      </c>
      <c r="C2155">
        <f>IF(B2155&gt;0, MAX($C$2:C2154)+1, "")</f>
        <v>2153</v>
      </c>
      <c r="D2155" t="str">
        <f t="shared" si="33"/>
        <v/>
      </c>
    </row>
    <row r="2156" spans="1:4">
      <c r="A2156" s="42" t="s">
        <v>2218</v>
      </c>
      <c r="B2156">
        <f>IFERROR(FIND('Simulador IR 2025'!$I$29, A2156), 0)</f>
        <v>1</v>
      </c>
      <c r="C2156">
        <f>IF(B2156&gt;0, MAX($C$2:C2155)+1, "")</f>
        <v>2154</v>
      </c>
      <c r="D2156" t="str">
        <f t="shared" si="33"/>
        <v/>
      </c>
    </row>
    <row r="2157" spans="1:4">
      <c r="A2157" s="42" t="s">
        <v>2219</v>
      </c>
      <c r="B2157">
        <f>IFERROR(FIND('Simulador IR 2025'!$I$29, A2157), 0)</f>
        <v>1</v>
      </c>
      <c r="C2157">
        <f>IF(B2157&gt;0, MAX($C$2:C2156)+1, "")</f>
        <v>2155</v>
      </c>
      <c r="D2157" t="str">
        <f t="shared" si="33"/>
        <v/>
      </c>
    </row>
    <row r="2158" spans="1:4">
      <c r="A2158" s="42" t="s">
        <v>2220</v>
      </c>
      <c r="B2158">
        <f>IFERROR(FIND('Simulador IR 2025'!$I$29, A2158), 0)</f>
        <v>1</v>
      </c>
      <c r="C2158">
        <f>IF(B2158&gt;0, MAX($C$2:C2157)+1, "")</f>
        <v>2156</v>
      </c>
      <c r="D2158" t="str">
        <f t="shared" si="33"/>
        <v/>
      </c>
    </row>
    <row r="2159" spans="1:4">
      <c r="A2159" s="42" t="s">
        <v>2221</v>
      </c>
      <c r="B2159">
        <f>IFERROR(FIND('Simulador IR 2025'!$I$29, A2159), 0)</f>
        <v>1</v>
      </c>
      <c r="C2159">
        <f>IF(B2159&gt;0, MAX($C$2:C2158)+1, "")</f>
        <v>2157</v>
      </c>
      <c r="D2159" t="str">
        <f t="shared" si="33"/>
        <v/>
      </c>
    </row>
    <row r="2160" spans="1:4">
      <c r="A2160" s="42" t="s">
        <v>2222</v>
      </c>
      <c r="B2160">
        <f>IFERROR(FIND('Simulador IR 2025'!$I$29, A2160), 0)</f>
        <v>1</v>
      </c>
      <c r="C2160">
        <f>IF(B2160&gt;0, MAX($C$2:C2159)+1, "")</f>
        <v>2158</v>
      </c>
      <c r="D2160" t="str">
        <f t="shared" si="33"/>
        <v/>
      </c>
    </row>
    <row r="2161" spans="1:4">
      <c r="A2161" s="42" t="s">
        <v>2223</v>
      </c>
      <c r="B2161">
        <f>IFERROR(FIND('Simulador IR 2025'!$I$29, A2161), 0)</f>
        <v>1</v>
      </c>
      <c r="C2161">
        <f>IF(B2161&gt;0, MAX($C$2:C2160)+1, "")</f>
        <v>2159</v>
      </c>
      <c r="D2161" t="str">
        <f t="shared" si="33"/>
        <v/>
      </c>
    </row>
    <row r="2162" spans="1:4">
      <c r="A2162" s="42" t="s">
        <v>2224</v>
      </c>
      <c r="B2162">
        <f>IFERROR(FIND('Simulador IR 2025'!$I$29, A2162), 0)</f>
        <v>1</v>
      </c>
      <c r="C2162">
        <f>IF(B2162&gt;0, MAX($C$2:C2161)+1, "")</f>
        <v>2160</v>
      </c>
      <c r="D2162" t="str">
        <f t="shared" si="33"/>
        <v/>
      </c>
    </row>
    <row r="2163" spans="1:4">
      <c r="A2163" s="42" t="s">
        <v>2225</v>
      </c>
      <c r="B2163">
        <f>IFERROR(FIND('Simulador IR 2025'!$I$29, A2163), 0)</f>
        <v>1</v>
      </c>
      <c r="C2163">
        <f>IF(B2163&gt;0, MAX($C$2:C2162)+1, "")</f>
        <v>2161</v>
      </c>
      <c r="D2163" t="str">
        <f t="shared" si="33"/>
        <v/>
      </c>
    </row>
    <row r="2164" spans="1:4">
      <c r="A2164" s="42" t="s">
        <v>2226</v>
      </c>
      <c r="B2164">
        <f>IFERROR(FIND('Simulador IR 2025'!$I$29, A2164), 0)</f>
        <v>1</v>
      </c>
      <c r="C2164">
        <f>IF(B2164&gt;0, MAX($C$2:C2163)+1, "")</f>
        <v>2162</v>
      </c>
      <c r="D2164" t="str">
        <f t="shared" si="33"/>
        <v/>
      </c>
    </row>
    <row r="2165" spans="1:4">
      <c r="A2165" s="42" t="s">
        <v>2227</v>
      </c>
      <c r="B2165">
        <f>IFERROR(FIND('Simulador IR 2025'!$I$29, A2165), 0)</f>
        <v>1</v>
      </c>
      <c r="C2165">
        <f>IF(B2165&gt;0, MAX($C$2:C2164)+1, "")</f>
        <v>2163</v>
      </c>
      <c r="D2165" t="str">
        <f t="shared" si="33"/>
        <v/>
      </c>
    </row>
    <row r="2166" spans="1:4">
      <c r="A2166" s="42" t="s">
        <v>2228</v>
      </c>
      <c r="B2166">
        <f>IFERROR(FIND('Simulador IR 2025'!$I$29, A2166), 0)</f>
        <v>1</v>
      </c>
      <c r="C2166">
        <f>IF(B2166&gt;0, MAX($C$2:C2165)+1, "")</f>
        <v>2164</v>
      </c>
      <c r="D2166" t="str">
        <f t="shared" si="33"/>
        <v/>
      </c>
    </row>
    <row r="2167" spans="1:4">
      <c r="A2167" s="42" t="s">
        <v>2229</v>
      </c>
      <c r="B2167">
        <f>IFERROR(FIND('Simulador IR 2025'!$I$29, A2167), 0)</f>
        <v>1</v>
      </c>
      <c r="C2167">
        <f>IF(B2167&gt;0, MAX($C$2:C2166)+1, "")</f>
        <v>2165</v>
      </c>
      <c r="D2167" t="str">
        <f t="shared" si="33"/>
        <v/>
      </c>
    </row>
    <row r="2168" spans="1:4">
      <c r="A2168" s="42" t="s">
        <v>2230</v>
      </c>
      <c r="B2168">
        <f>IFERROR(FIND('Simulador IR 2025'!$I$29, A2168), 0)</f>
        <v>1</v>
      </c>
      <c r="C2168">
        <f>IF(B2168&gt;0, MAX($C$2:C2167)+1, "")</f>
        <v>2166</v>
      </c>
      <c r="D2168" t="str">
        <f t="shared" si="33"/>
        <v/>
      </c>
    </row>
    <row r="2169" spans="1:4">
      <c r="A2169" s="42" t="s">
        <v>2231</v>
      </c>
      <c r="B2169">
        <f>IFERROR(FIND('Simulador IR 2025'!$I$29, A2169), 0)</f>
        <v>1</v>
      </c>
      <c r="C2169">
        <f>IF(B2169&gt;0, MAX($C$2:C2168)+1, "")</f>
        <v>2167</v>
      </c>
      <c r="D2169" t="str">
        <f t="shared" si="33"/>
        <v/>
      </c>
    </row>
    <row r="2170" spans="1:4">
      <c r="A2170" s="42" t="s">
        <v>2232</v>
      </c>
      <c r="B2170">
        <f>IFERROR(FIND('Simulador IR 2025'!$I$29, A2170), 0)</f>
        <v>1</v>
      </c>
      <c r="C2170">
        <f>IF(B2170&gt;0, MAX($C$2:C2169)+1, "")</f>
        <v>2168</v>
      </c>
      <c r="D2170" t="str">
        <f t="shared" si="33"/>
        <v/>
      </c>
    </row>
    <row r="2171" spans="1:4">
      <c r="A2171" s="42" t="s">
        <v>2233</v>
      </c>
      <c r="B2171">
        <f>IFERROR(FIND('Simulador IR 2025'!$I$29, A2171), 0)</f>
        <v>1</v>
      </c>
      <c r="C2171">
        <f>IF(B2171&gt;0, MAX($C$2:C2170)+1, "")</f>
        <v>2169</v>
      </c>
      <c r="D2171" t="str">
        <f t="shared" si="33"/>
        <v/>
      </c>
    </row>
    <row r="2172" spans="1:4">
      <c r="A2172" s="42" t="s">
        <v>2234</v>
      </c>
      <c r="B2172">
        <f>IFERROR(FIND('Simulador IR 2025'!$I$29, A2172), 0)</f>
        <v>1</v>
      </c>
      <c r="C2172">
        <f>IF(B2172&gt;0, MAX($C$2:C2171)+1, "")</f>
        <v>2170</v>
      </c>
      <c r="D2172" t="str">
        <f t="shared" si="33"/>
        <v/>
      </c>
    </row>
    <row r="2173" spans="1:4">
      <c r="A2173" s="42" t="s">
        <v>2235</v>
      </c>
      <c r="B2173">
        <f>IFERROR(FIND('Simulador IR 2025'!$I$29, A2173), 0)</f>
        <v>1</v>
      </c>
      <c r="C2173">
        <f>IF(B2173&gt;0, MAX($C$2:C2172)+1, "")</f>
        <v>2171</v>
      </c>
      <c r="D2173" t="str">
        <f t="shared" si="33"/>
        <v/>
      </c>
    </row>
    <row r="2174" spans="1:4">
      <c r="A2174" s="42" t="s">
        <v>2236</v>
      </c>
      <c r="B2174">
        <f>IFERROR(FIND('Simulador IR 2025'!$I$29, A2174), 0)</f>
        <v>1</v>
      </c>
      <c r="C2174">
        <f>IF(B2174&gt;0, MAX($C$2:C2173)+1, "")</f>
        <v>2172</v>
      </c>
      <c r="D2174" t="str">
        <f t="shared" si="33"/>
        <v/>
      </c>
    </row>
    <row r="2175" spans="1:4">
      <c r="A2175" s="42" t="s">
        <v>2237</v>
      </c>
      <c r="B2175">
        <f>IFERROR(FIND('Simulador IR 2025'!$I$29, A2175), 0)</f>
        <v>1</v>
      </c>
      <c r="C2175">
        <f>IF(B2175&gt;0, MAX($C$2:C2174)+1, "")</f>
        <v>2173</v>
      </c>
      <c r="D2175" t="str">
        <f t="shared" si="33"/>
        <v/>
      </c>
    </row>
    <row r="2176" spans="1:4">
      <c r="A2176" s="42" t="s">
        <v>2238</v>
      </c>
      <c r="B2176">
        <f>IFERROR(FIND('Simulador IR 2025'!$I$29, A2176), 0)</f>
        <v>1</v>
      </c>
      <c r="C2176">
        <f>IF(B2176&gt;0, MAX($C$2:C2175)+1, "")</f>
        <v>2174</v>
      </c>
      <c r="D2176" t="str">
        <f t="shared" si="33"/>
        <v/>
      </c>
    </row>
    <row r="2177" spans="1:4">
      <c r="A2177" s="42" t="s">
        <v>2239</v>
      </c>
      <c r="B2177">
        <f>IFERROR(FIND('Simulador IR 2025'!$I$29, A2177), 0)</f>
        <v>1</v>
      </c>
      <c r="C2177">
        <f>IF(B2177&gt;0, MAX($C$2:C2176)+1, "")</f>
        <v>2175</v>
      </c>
      <c r="D2177" t="str">
        <f t="shared" si="33"/>
        <v/>
      </c>
    </row>
    <row r="2178" spans="1:4">
      <c r="A2178" s="42" t="s">
        <v>2240</v>
      </c>
      <c r="B2178">
        <f>IFERROR(FIND('Simulador IR 2025'!$I$29, A2178), 0)</f>
        <v>1</v>
      </c>
      <c r="C2178">
        <f>IF(B2178&gt;0, MAX($C$2:C2177)+1, "")</f>
        <v>2176</v>
      </c>
      <c r="D2178" t="str">
        <f t="shared" si="33"/>
        <v/>
      </c>
    </row>
    <row r="2179" spans="1:4">
      <c r="A2179" s="42" t="s">
        <v>2241</v>
      </c>
      <c r="B2179">
        <f>IFERROR(FIND('Simulador IR 2025'!$I$29, A2179), 0)</f>
        <v>1</v>
      </c>
      <c r="C2179">
        <f>IF(B2179&gt;0, MAX($C$2:C2178)+1, "")</f>
        <v>2177</v>
      </c>
      <c r="D2179" t="str">
        <f t="shared" si="33"/>
        <v/>
      </c>
    </row>
    <row r="2180" spans="1:4">
      <c r="A2180" s="42" t="s">
        <v>2242</v>
      </c>
      <c r="B2180">
        <f>IFERROR(FIND('Simulador IR 2025'!$I$29, A2180), 0)</f>
        <v>1</v>
      </c>
      <c r="C2180">
        <f>IF(B2180&gt;0, MAX($C$2:C2179)+1, "")</f>
        <v>2178</v>
      </c>
      <c r="D2180" t="str">
        <f t="shared" ref="D2180:D2243" si="34">IFERROR(VLOOKUP(ROW(A2178), $A$3:$C$2681, -2, FALSE), "")</f>
        <v/>
      </c>
    </row>
    <row r="2181" spans="1:4">
      <c r="A2181" s="42" t="s">
        <v>2243</v>
      </c>
      <c r="B2181">
        <f>IFERROR(FIND('Simulador IR 2025'!$I$29, A2181), 0)</f>
        <v>1</v>
      </c>
      <c r="C2181">
        <f>IF(B2181&gt;0, MAX($C$2:C2180)+1, "")</f>
        <v>2179</v>
      </c>
      <c r="D2181" t="str">
        <f t="shared" si="34"/>
        <v/>
      </c>
    </row>
    <row r="2182" spans="1:4">
      <c r="A2182" s="42" t="s">
        <v>2244</v>
      </c>
      <c r="B2182">
        <f>IFERROR(FIND('Simulador IR 2025'!$I$29, A2182), 0)</f>
        <v>1</v>
      </c>
      <c r="C2182">
        <f>IF(B2182&gt;0, MAX($C$2:C2181)+1, "")</f>
        <v>2180</v>
      </c>
      <c r="D2182" t="str">
        <f t="shared" si="34"/>
        <v/>
      </c>
    </row>
    <row r="2183" spans="1:4">
      <c r="A2183" s="42" t="s">
        <v>2245</v>
      </c>
      <c r="B2183">
        <f>IFERROR(FIND('Simulador IR 2025'!$I$29, A2183), 0)</f>
        <v>1</v>
      </c>
      <c r="C2183">
        <f>IF(B2183&gt;0, MAX($C$2:C2182)+1, "")</f>
        <v>2181</v>
      </c>
      <c r="D2183" t="str">
        <f t="shared" si="34"/>
        <v/>
      </c>
    </row>
    <row r="2184" spans="1:4">
      <c r="A2184" s="42" t="s">
        <v>2246</v>
      </c>
      <c r="B2184">
        <f>IFERROR(FIND('Simulador IR 2025'!$I$29, A2184), 0)</f>
        <v>1</v>
      </c>
      <c r="C2184">
        <f>IF(B2184&gt;0, MAX($C$2:C2183)+1, "")</f>
        <v>2182</v>
      </c>
      <c r="D2184" t="str">
        <f t="shared" si="34"/>
        <v/>
      </c>
    </row>
    <row r="2185" spans="1:4">
      <c r="A2185" s="42" t="s">
        <v>2247</v>
      </c>
      <c r="B2185">
        <f>IFERROR(FIND('Simulador IR 2025'!$I$29, A2185), 0)</f>
        <v>1</v>
      </c>
      <c r="C2185">
        <f>IF(B2185&gt;0, MAX($C$2:C2184)+1, "")</f>
        <v>2183</v>
      </c>
      <c r="D2185" t="str">
        <f t="shared" si="34"/>
        <v/>
      </c>
    </row>
    <row r="2186" spans="1:4">
      <c r="A2186" s="42" t="s">
        <v>2248</v>
      </c>
      <c r="B2186">
        <f>IFERROR(FIND('Simulador IR 2025'!$I$29, A2186), 0)</f>
        <v>1</v>
      </c>
      <c r="C2186">
        <f>IF(B2186&gt;0, MAX($C$2:C2185)+1, "")</f>
        <v>2184</v>
      </c>
      <c r="D2186" t="str">
        <f t="shared" si="34"/>
        <v/>
      </c>
    </row>
    <row r="2187" spans="1:4">
      <c r="A2187" s="42" t="s">
        <v>2249</v>
      </c>
      <c r="B2187">
        <f>IFERROR(FIND('Simulador IR 2025'!$I$29, A2187), 0)</f>
        <v>1</v>
      </c>
      <c r="C2187">
        <f>IF(B2187&gt;0, MAX($C$2:C2186)+1, "")</f>
        <v>2185</v>
      </c>
      <c r="D2187" t="str">
        <f t="shared" si="34"/>
        <v/>
      </c>
    </row>
    <row r="2188" spans="1:4">
      <c r="A2188" s="42" t="s">
        <v>2250</v>
      </c>
      <c r="B2188">
        <f>IFERROR(FIND('Simulador IR 2025'!$I$29, A2188), 0)</f>
        <v>1</v>
      </c>
      <c r="C2188">
        <f>IF(B2188&gt;0, MAX($C$2:C2187)+1, "")</f>
        <v>2186</v>
      </c>
      <c r="D2188" t="str">
        <f t="shared" si="34"/>
        <v/>
      </c>
    </row>
    <row r="2189" spans="1:4">
      <c r="A2189" s="42" t="s">
        <v>2251</v>
      </c>
      <c r="B2189">
        <f>IFERROR(FIND('Simulador IR 2025'!$I$29, A2189), 0)</f>
        <v>1</v>
      </c>
      <c r="C2189">
        <f>IF(B2189&gt;0, MAX($C$2:C2188)+1, "")</f>
        <v>2187</v>
      </c>
      <c r="D2189" t="str">
        <f t="shared" si="34"/>
        <v/>
      </c>
    </row>
    <row r="2190" spans="1:4">
      <c r="A2190" s="42" t="s">
        <v>2252</v>
      </c>
      <c r="B2190">
        <f>IFERROR(FIND('Simulador IR 2025'!$I$29, A2190), 0)</f>
        <v>1</v>
      </c>
      <c r="C2190">
        <f>IF(B2190&gt;0, MAX($C$2:C2189)+1, "")</f>
        <v>2188</v>
      </c>
      <c r="D2190" t="str">
        <f t="shared" si="34"/>
        <v/>
      </c>
    </row>
    <row r="2191" spans="1:4">
      <c r="A2191" s="42" t="s">
        <v>2253</v>
      </c>
      <c r="B2191">
        <f>IFERROR(FIND('Simulador IR 2025'!$I$29, A2191), 0)</f>
        <v>1</v>
      </c>
      <c r="C2191">
        <f>IF(B2191&gt;0, MAX($C$2:C2190)+1, "")</f>
        <v>2189</v>
      </c>
      <c r="D2191" t="str">
        <f t="shared" si="34"/>
        <v/>
      </c>
    </row>
    <row r="2192" spans="1:4">
      <c r="A2192" s="42" t="s">
        <v>2254</v>
      </c>
      <c r="B2192">
        <f>IFERROR(FIND('Simulador IR 2025'!$I$29, A2192), 0)</f>
        <v>1</v>
      </c>
      <c r="C2192">
        <f>IF(B2192&gt;0, MAX($C$2:C2191)+1, "")</f>
        <v>2190</v>
      </c>
      <c r="D2192" t="str">
        <f t="shared" si="34"/>
        <v/>
      </c>
    </row>
    <row r="2193" spans="1:4">
      <c r="A2193" s="42" t="s">
        <v>2255</v>
      </c>
      <c r="B2193">
        <f>IFERROR(FIND('Simulador IR 2025'!$I$29, A2193), 0)</f>
        <v>1</v>
      </c>
      <c r="C2193">
        <f>IF(B2193&gt;0, MAX($C$2:C2192)+1, "")</f>
        <v>2191</v>
      </c>
      <c r="D2193" t="str">
        <f t="shared" si="34"/>
        <v/>
      </c>
    </row>
    <row r="2194" spans="1:4">
      <c r="A2194" s="42" t="s">
        <v>2256</v>
      </c>
      <c r="B2194">
        <f>IFERROR(FIND('Simulador IR 2025'!$I$29, A2194), 0)</f>
        <v>1</v>
      </c>
      <c r="C2194">
        <f>IF(B2194&gt;0, MAX($C$2:C2193)+1, "")</f>
        <v>2192</v>
      </c>
      <c r="D2194" t="str">
        <f t="shared" si="34"/>
        <v/>
      </c>
    </row>
    <row r="2195" spans="1:4">
      <c r="A2195" s="42" t="s">
        <v>2257</v>
      </c>
      <c r="B2195">
        <f>IFERROR(FIND('Simulador IR 2025'!$I$29, A2195), 0)</f>
        <v>1</v>
      </c>
      <c r="C2195">
        <f>IF(B2195&gt;0, MAX($C$2:C2194)+1, "")</f>
        <v>2193</v>
      </c>
      <c r="D2195" t="str">
        <f t="shared" si="34"/>
        <v/>
      </c>
    </row>
    <row r="2196" spans="1:4">
      <c r="A2196" s="42" t="s">
        <v>2258</v>
      </c>
      <c r="B2196">
        <f>IFERROR(FIND('Simulador IR 2025'!$I$29, A2196), 0)</f>
        <v>1</v>
      </c>
      <c r="C2196">
        <f>IF(B2196&gt;0, MAX($C$2:C2195)+1, "")</f>
        <v>2194</v>
      </c>
      <c r="D2196" t="str">
        <f t="shared" si="34"/>
        <v/>
      </c>
    </row>
    <row r="2197" spans="1:4">
      <c r="A2197" s="42" t="s">
        <v>2259</v>
      </c>
      <c r="B2197">
        <f>IFERROR(FIND('Simulador IR 2025'!$I$29, A2197), 0)</f>
        <v>1</v>
      </c>
      <c r="C2197">
        <f>IF(B2197&gt;0, MAX($C$2:C2196)+1, "")</f>
        <v>2195</v>
      </c>
      <c r="D2197" t="str">
        <f t="shared" si="34"/>
        <v/>
      </c>
    </row>
    <row r="2198" spans="1:4">
      <c r="A2198" s="42" t="s">
        <v>2260</v>
      </c>
      <c r="B2198">
        <f>IFERROR(FIND('Simulador IR 2025'!$I$29, A2198), 0)</f>
        <v>1</v>
      </c>
      <c r="C2198">
        <f>IF(B2198&gt;0, MAX($C$2:C2197)+1, "")</f>
        <v>2196</v>
      </c>
      <c r="D2198" t="str">
        <f t="shared" si="34"/>
        <v/>
      </c>
    </row>
    <row r="2199" spans="1:4">
      <c r="A2199" s="42" t="s">
        <v>2261</v>
      </c>
      <c r="B2199">
        <f>IFERROR(FIND('Simulador IR 2025'!$I$29, A2199), 0)</f>
        <v>1</v>
      </c>
      <c r="C2199">
        <f>IF(B2199&gt;0, MAX($C$2:C2198)+1, "")</f>
        <v>2197</v>
      </c>
      <c r="D2199" t="str">
        <f t="shared" si="34"/>
        <v/>
      </c>
    </row>
    <row r="2200" spans="1:4">
      <c r="A2200" s="42" t="s">
        <v>2262</v>
      </c>
      <c r="B2200">
        <f>IFERROR(FIND('Simulador IR 2025'!$I$29, A2200), 0)</f>
        <v>1</v>
      </c>
      <c r="C2200">
        <f>IF(B2200&gt;0, MAX($C$2:C2199)+1, "")</f>
        <v>2198</v>
      </c>
      <c r="D2200" t="str">
        <f t="shared" si="34"/>
        <v/>
      </c>
    </row>
    <row r="2201" spans="1:4">
      <c r="A2201" s="42" t="s">
        <v>2263</v>
      </c>
      <c r="B2201">
        <f>IFERROR(FIND('Simulador IR 2025'!$I$29, A2201), 0)</f>
        <v>1</v>
      </c>
      <c r="C2201">
        <f>IF(B2201&gt;0, MAX($C$2:C2200)+1, "")</f>
        <v>2199</v>
      </c>
      <c r="D2201" t="str">
        <f t="shared" si="34"/>
        <v/>
      </c>
    </row>
    <row r="2202" spans="1:4">
      <c r="A2202" s="42" t="s">
        <v>2264</v>
      </c>
      <c r="B2202">
        <f>IFERROR(FIND('Simulador IR 2025'!$I$29, A2202), 0)</f>
        <v>1</v>
      </c>
      <c r="C2202">
        <f>IF(B2202&gt;0, MAX($C$2:C2201)+1, "")</f>
        <v>2200</v>
      </c>
      <c r="D2202" t="str">
        <f t="shared" si="34"/>
        <v/>
      </c>
    </row>
    <row r="2203" spans="1:4">
      <c r="A2203" s="42" t="s">
        <v>2265</v>
      </c>
      <c r="B2203">
        <f>IFERROR(FIND('Simulador IR 2025'!$I$29, A2203), 0)</f>
        <v>1</v>
      </c>
      <c r="C2203">
        <f>IF(B2203&gt;0, MAX($C$2:C2202)+1, "")</f>
        <v>2201</v>
      </c>
      <c r="D2203" t="str">
        <f t="shared" si="34"/>
        <v/>
      </c>
    </row>
    <row r="2204" spans="1:4">
      <c r="A2204" s="42" t="s">
        <v>2266</v>
      </c>
      <c r="B2204">
        <f>IFERROR(FIND('Simulador IR 2025'!$I$29, A2204), 0)</f>
        <v>1</v>
      </c>
      <c r="C2204">
        <f>IF(B2204&gt;0, MAX($C$2:C2203)+1, "")</f>
        <v>2202</v>
      </c>
      <c r="D2204" t="str">
        <f t="shared" si="34"/>
        <v/>
      </c>
    </row>
    <row r="2205" spans="1:4">
      <c r="A2205" s="42" t="s">
        <v>2267</v>
      </c>
      <c r="B2205">
        <f>IFERROR(FIND('Simulador IR 2025'!$I$29, A2205), 0)</f>
        <v>1</v>
      </c>
      <c r="C2205">
        <f>IF(B2205&gt;0, MAX($C$2:C2204)+1, "")</f>
        <v>2203</v>
      </c>
      <c r="D2205" t="str">
        <f t="shared" si="34"/>
        <v/>
      </c>
    </row>
    <row r="2206" spans="1:4">
      <c r="A2206" s="42" t="s">
        <v>2268</v>
      </c>
      <c r="B2206">
        <f>IFERROR(FIND('Simulador IR 2025'!$I$29, A2206), 0)</f>
        <v>1</v>
      </c>
      <c r="C2206">
        <f>IF(B2206&gt;0, MAX($C$2:C2205)+1, "")</f>
        <v>2204</v>
      </c>
      <c r="D2206" t="str">
        <f t="shared" si="34"/>
        <v/>
      </c>
    </row>
    <row r="2207" spans="1:4">
      <c r="A2207" s="42" t="s">
        <v>2269</v>
      </c>
      <c r="B2207">
        <f>IFERROR(FIND('Simulador IR 2025'!$I$29, A2207), 0)</f>
        <v>1</v>
      </c>
      <c r="C2207">
        <f>IF(B2207&gt;0, MAX($C$2:C2206)+1, "")</f>
        <v>2205</v>
      </c>
      <c r="D2207" t="str">
        <f t="shared" si="34"/>
        <v/>
      </c>
    </row>
    <row r="2208" spans="1:4">
      <c r="A2208" s="42" t="s">
        <v>2270</v>
      </c>
      <c r="B2208">
        <f>IFERROR(FIND('Simulador IR 2025'!$I$29, A2208), 0)</f>
        <v>1</v>
      </c>
      <c r="C2208">
        <f>IF(B2208&gt;0, MAX($C$2:C2207)+1, "")</f>
        <v>2206</v>
      </c>
      <c r="D2208" t="str">
        <f t="shared" si="34"/>
        <v/>
      </c>
    </row>
    <row r="2209" spans="1:4">
      <c r="A2209" s="42" t="s">
        <v>2271</v>
      </c>
      <c r="B2209">
        <f>IFERROR(FIND('Simulador IR 2025'!$I$29, A2209), 0)</f>
        <v>1</v>
      </c>
      <c r="C2209">
        <f>IF(B2209&gt;0, MAX($C$2:C2208)+1, "")</f>
        <v>2207</v>
      </c>
      <c r="D2209" t="str">
        <f t="shared" si="34"/>
        <v/>
      </c>
    </row>
    <row r="2210" spans="1:4">
      <c r="A2210" s="42" t="s">
        <v>2272</v>
      </c>
      <c r="B2210">
        <f>IFERROR(FIND('Simulador IR 2025'!$I$29, A2210), 0)</f>
        <v>1</v>
      </c>
      <c r="C2210">
        <f>IF(B2210&gt;0, MAX($C$2:C2209)+1, "")</f>
        <v>2208</v>
      </c>
      <c r="D2210" t="str">
        <f t="shared" si="34"/>
        <v/>
      </c>
    </row>
    <row r="2211" spans="1:4">
      <c r="A2211" s="42" t="s">
        <v>2273</v>
      </c>
      <c r="B2211">
        <f>IFERROR(FIND('Simulador IR 2025'!$I$29, A2211), 0)</f>
        <v>1</v>
      </c>
      <c r="C2211">
        <f>IF(B2211&gt;0, MAX($C$2:C2210)+1, "")</f>
        <v>2209</v>
      </c>
      <c r="D2211" t="str">
        <f t="shared" si="34"/>
        <v/>
      </c>
    </row>
    <row r="2212" spans="1:4">
      <c r="A2212" s="42" t="s">
        <v>2274</v>
      </c>
      <c r="B2212">
        <f>IFERROR(FIND('Simulador IR 2025'!$I$29, A2212), 0)</f>
        <v>1</v>
      </c>
      <c r="C2212">
        <f>IF(B2212&gt;0, MAX($C$2:C2211)+1, "")</f>
        <v>2210</v>
      </c>
      <c r="D2212" t="str">
        <f t="shared" si="34"/>
        <v/>
      </c>
    </row>
    <row r="2213" spans="1:4">
      <c r="A2213" s="42" t="s">
        <v>2275</v>
      </c>
      <c r="B2213">
        <f>IFERROR(FIND('Simulador IR 2025'!$I$29, A2213), 0)</f>
        <v>1</v>
      </c>
      <c r="C2213">
        <f>IF(B2213&gt;0, MAX($C$2:C2212)+1, "")</f>
        <v>2211</v>
      </c>
      <c r="D2213" t="str">
        <f t="shared" si="34"/>
        <v/>
      </c>
    </row>
    <row r="2214" spans="1:4">
      <c r="A2214" s="42" t="s">
        <v>2276</v>
      </c>
      <c r="B2214">
        <f>IFERROR(FIND('Simulador IR 2025'!$I$29, A2214), 0)</f>
        <v>1</v>
      </c>
      <c r="C2214">
        <f>IF(B2214&gt;0, MAX($C$2:C2213)+1, "")</f>
        <v>2212</v>
      </c>
      <c r="D2214" t="str">
        <f t="shared" si="34"/>
        <v/>
      </c>
    </row>
    <row r="2215" spans="1:4">
      <c r="A2215" s="42" t="s">
        <v>2277</v>
      </c>
      <c r="B2215">
        <f>IFERROR(FIND('Simulador IR 2025'!$I$29, A2215), 0)</f>
        <v>1</v>
      </c>
      <c r="C2215">
        <f>IF(B2215&gt;0, MAX($C$2:C2214)+1, "")</f>
        <v>2213</v>
      </c>
      <c r="D2215" t="str">
        <f t="shared" si="34"/>
        <v/>
      </c>
    </row>
    <row r="2216" spans="1:4">
      <c r="A2216" s="42" t="s">
        <v>2278</v>
      </c>
      <c r="B2216">
        <f>IFERROR(FIND('Simulador IR 2025'!$I$29, A2216), 0)</f>
        <v>1</v>
      </c>
      <c r="C2216">
        <f>IF(B2216&gt;0, MAX($C$2:C2215)+1, "")</f>
        <v>2214</v>
      </c>
      <c r="D2216" t="str">
        <f t="shared" si="34"/>
        <v/>
      </c>
    </row>
    <row r="2217" spans="1:4">
      <c r="A2217" s="42" t="s">
        <v>2279</v>
      </c>
      <c r="B2217">
        <f>IFERROR(FIND('Simulador IR 2025'!$I$29, A2217), 0)</f>
        <v>1</v>
      </c>
      <c r="C2217">
        <f>IF(B2217&gt;0, MAX($C$2:C2216)+1, "")</f>
        <v>2215</v>
      </c>
      <c r="D2217" t="str">
        <f t="shared" si="34"/>
        <v/>
      </c>
    </row>
    <row r="2218" spans="1:4">
      <c r="A2218" s="42" t="s">
        <v>2280</v>
      </c>
      <c r="B2218">
        <f>IFERROR(FIND('Simulador IR 2025'!$I$29, A2218), 0)</f>
        <v>1</v>
      </c>
      <c r="C2218">
        <f>IF(B2218&gt;0, MAX($C$2:C2217)+1, "")</f>
        <v>2216</v>
      </c>
      <c r="D2218" t="str">
        <f t="shared" si="34"/>
        <v/>
      </c>
    </row>
    <row r="2219" spans="1:4">
      <c r="A2219" s="42" t="s">
        <v>2281</v>
      </c>
      <c r="B2219">
        <f>IFERROR(FIND('Simulador IR 2025'!$I$29, A2219), 0)</f>
        <v>1</v>
      </c>
      <c r="C2219">
        <f>IF(B2219&gt;0, MAX($C$2:C2218)+1, "")</f>
        <v>2217</v>
      </c>
      <c r="D2219" t="str">
        <f t="shared" si="34"/>
        <v/>
      </c>
    </row>
    <row r="2220" spans="1:4">
      <c r="A2220" s="42" t="s">
        <v>2282</v>
      </c>
      <c r="B2220">
        <f>IFERROR(FIND('Simulador IR 2025'!$I$29, A2220), 0)</f>
        <v>1</v>
      </c>
      <c r="C2220">
        <f>IF(B2220&gt;0, MAX($C$2:C2219)+1, "")</f>
        <v>2218</v>
      </c>
      <c r="D2220" t="str">
        <f t="shared" si="34"/>
        <v/>
      </c>
    </row>
    <row r="2221" spans="1:4">
      <c r="A2221" s="42" t="s">
        <v>2283</v>
      </c>
      <c r="B2221">
        <f>IFERROR(FIND('Simulador IR 2025'!$I$29, A2221), 0)</f>
        <v>1</v>
      </c>
      <c r="C2221">
        <f>IF(B2221&gt;0, MAX($C$2:C2220)+1, "")</f>
        <v>2219</v>
      </c>
      <c r="D2221" t="str">
        <f t="shared" si="34"/>
        <v/>
      </c>
    </row>
    <row r="2222" spans="1:4">
      <c r="A2222" s="42" t="s">
        <v>2284</v>
      </c>
      <c r="B2222">
        <f>IFERROR(FIND('Simulador IR 2025'!$I$29, A2222), 0)</f>
        <v>1</v>
      </c>
      <c r="C2222">
        <f>IF(B2222&gt;0, MAX($C$2:C2221)+1, "")</f>
        <v>2220</v>
      </c>
      <c r="D2222" t="str">
        <f t="shared" si="34"/>
        <v/>
      </c>
    </row>
    <row r="2223" spans="1:4">
      <c r="A2223" s="42" t="s">
        <v>2285</v>
      </c>
      <c r="B2223">
        <f>IFERROR(FIND('Simulador IR 2025'!$I$29, A2223), 0)</f>
        <v>1</v>
      </c>
      <c r="C2223">
        <f>IF(B2223&gt;0, MAX($C$2:C2222)+1, "")</f>
        <v>2221</v>
      </c>
      <c r="D2223" t="str">
        <f t="shared" si="34"/>
        <v/>
      </c>
    </row>
    <row r="2224" spans="1:4">
      <c r="A2224" s="42" t="s">
        <v>2286</v>
      </c>
      <c r="B2224">
        <f>IFERROR(FIND('Simulador IR 2025'!$I$29, A2224), 0)</f>
        <v>1</v>
      </c>
      <c r="C2224">
        <f>IF(B2224&gt;0, MAX($C$2:C2223)+1, "")</f>
        <v>2222</v>
      </c>
      <c r="D2224" t="str">
        <f t="shared" si="34"/>
        <v/>
      </c>
    </row>
    <row r="2225" spans="1:4">
      <c r="A2225" s="42" t="s">
        <v>2287</v>
      </c>
      <c r="B2225">
        <f>IFERROR(FIND('Simulador IR 2025'!$I$29, A2225), 0)</f>
        <v>1</v>
      </c>
      <c r="C2225">
        <f>IF(B2225&gt;0, MAX($C$2:C2224)+1, "")</f>
        <v>2223</v>
      </c>
      <c r="D2225" t="str">
        <f t="shared" si="34"/>
        <v/>
      </c>
    </row>
    <row r="2226" spans="1:4">
      <c r="A2226" s="42" t="s">
        <v>2288</v>
      </c>
      <c r="B2226">
        <f>IFERROR(FIND('Simulador IR 2025'!$I$29, A2226), 0)</f>
        <v>1</v>
      </c>
      <c r="C2226">
        <f>IF(B2226&gt;0, MAX($C$2:C2225)+1, "")</f>
        <v>2224</v>
      </c>
      <c r="D2226" t="str">
        <f t="shared" si="34"/>
        <v/>
      </c>
    </row>
    <row r="2227" spans="1:4">
      <c r="A2227" s="42" t="s">
        <v>2289</v>
      </c>
      <c r="B2227">
        <f>IFERROR(FIND('Simulador IR 2025'!$I$29, A2227), 0)</f>
        <v>1</v>
      </c>
      <c r="C2227">
        <f>IF(B2227&gt;0, MAX($C$2:C2226)+1, "")</f>
        <v>2225</v>
      </c>
      <c r="D2227" t="str">
        <f t="shared" si="34"/>
        <v/>
      </c>
    </row>
    <row r="2228" spans="1:4">
      <c r="A2228" s="42" t="s">
        <v>2290</v>
      </c>
      <c r="B2228">
        <f>IFERROR(FIND('Simulador IR 2025'!$I$29, A2228), 0)</f>
        <v>1</v>
      </c>
      <c r="C2228">
        <f>IF(B2228&gt;0, MAX($C$2:C2227)+1, "")</f>
        <v>2226</v>
      </c>
      <c r="D2228" t="str">
        <f t="shared" si="34"/>
        <v/>
      </c>
    </row>
    <row r="2229" spans="1:4">
      <c r="A2229" s="42" t="s">
        <v>2291</v>
      </c>
      <c r="B2229">
        <f>IFERROR(FIND('Simulador IR 2025'!$I$29, A2229), 0)</f>
        <v>1</v>
      </c>
      <c r="C2229">
        <f>IF(B2229&gt;0, MAX($C$2:C2228)+1, "")</f>
        <v>2227</v>
      </c>
      <c r="D2229" t="str">
        <f t="shared" si="34"/>
        <v/>
      </c>
    </row>
    <row r="2230" spans="1:4">
      <c r="A2230" s="42" t="s">
        <v>2292</v>
      </c>
      <c r="B2230">
        <f>IFERROR(FIND('Simulador IR 2025'!$I$29, A2230), 0)</f>
        <v>1</v>
      </c>
      <c r="C2230">
        <f>IF(B2230&gt;0, MAX($C$2:C2229)+1, "")</f>
        <v>2228</v>
      </c>
      <c r="D2230" t="str">
        <f t="shared" si="34"/>
        <v/>
      </c>
    </row>
    <row r="2231" spans="1:4">
      <c r="A2231" s="42" t="s">
        <v>2293</v>
      </c>
      <c r="B2231">
        <f>IFERROR(FIND('Simulador IR 2025'!$I$29, A2231), 0)</f>
        <v>1</v>
      </c>
      <c r="C2231">
        <f>IF(B2231&gt;0, MAX($C$2:C2230)+1, "")</f>
        <v>2229</v>
      </c>
      <c r="D2231" t="str">
        <f t="shared" si="34"/>
        <v/>
      </c>
    </row>
    <row r="2232" spans="1:4">
      <c r="A2232" s="42" t="s">
        <v>2294</v>
      </c>
      <c r="B2232">
        <f>IFERROR(FIND('Simulador IR 2025'!$I$29, A2232), 0)</f>
        <v>1</v>
      </c>
      <c r="C2232">
        <f>IF(B2232&gt;0, MAX($C$2:C2231)+1, "")</f>
        <v>2230</v>
      </c>
      <c r="D2232" t="str">
        <f t="shared" si="34"/>
        <v/>
      </c>
    </row>
    <row r="2233" spans="1:4">
      <c r="A2233" s="42" t="s">
        <v>2295</v>
      </c>
      <c r="B2233">
        <f>IFERROR(FIND('Simulador IR 2025'!$I$29, A2233), 0)</f>
        <v>1</v>
      </c>
      <c r="C2233">
        <f>IF(B2233&gt;0, MAX($C$2:C2232)+1, "")</f>
        <v>2231</v>
      </c>
      <c r="D2233" t="str">
        <f t="shared" si="34"/>
        <v/>
      </c>
    </row>
    <row r="2234" spans="1:4">
      <c r="A2234" s="42" t="s">
        <v>2296</v>
      </c>
      <c r="B2234">
        <f>IFERROR(FIND('Simulador IR 2025'!$I$29, A2234), 0)</f>
        <v>1</v>
      </c>
      <c r="C2234">
        <f>IF(B2234&gt;0, MAX($C$2:C2233)+1, "")</f>
        <v>2232</v>
      </c>
      <c r="D2234" t="str">
        <f t="shared" si="34"/>
        <v/>
      </c>
    </row>
    <row r="2235" spans="1:4">
      <c r="A2235" s="42" t="s">
        <v>2297</v>
      </c>
      <c r="B2235">
        <f>IFERROR(FIND('Simulador IR 2025'!$I$29, A2235), 0)</f>
        <v>1</v>
      </c>
      <c r="C2235">
        <f>IF(B2235&gt;0, MAX($C$2:C2234)+1, "")</f>
        <v>2233</v>
      </c>
      <c r="D2235" t="str">
        <f t="shared" si="34"/>
        <v/>
      </c>
    </row>
    <row r="2236" spans="1:4">
      <c r="A2236" s="42" t="s">
        <v>2298</v>
      </c>
      <c r="B2236">
        <f>IFERROR(FIND('Simulador IR 2025'!$I$29, A2236), 0)</f>
        <v>1</v>
      </c>
      <c r="C2236">
        <f>IF(B2236&gt;0, MAX($C$2:C2235)+1, "")</f>
        <v>2234</v>
      </c>
      <c r="D2236" t="str">
        <f t="shared" si="34"/>
        <v/>
      </c>
    </row>
    <row r="2237" spans="1:4">
      <c r="A2237" s="42" t="s">
        <v>2299</v>
      </c>
      <c r="B2237">
        <f>IFERROR(FIND('Simulador IR 2025'!$I$29, A2237), 0)</f>
        <v>1</v>
      </c>
      <c r="C2237">
        <f>IF(B2237&gt;0, MAX($C$2:C2236)+1, "")</f>
        <v>2235</v>
      </c>
      <c r="D2237" t="str">
        <f t="shared" si="34"/>
        <v/>
      </c>
    </row>
    <row r="2238" spans="1:4">
      <c r="A2238" s="42" t="s">
        <v>2300</v>
      </c>
      <c r="B2238">
        <f>IFERROR(FIND('Simulador IR 2025'!$I$29, A2238), 0)</f>
        <v>1</v>
      </c>
      <c r="C2238">
        <f>IF(B2238&gt;0, MAX($C$2:C2237)+1, "")</f>
        <v>2236</v>
      </c>
      <c r="D2238" t="str">
        <f t="shared" si="34"/>
        <v/>
      </c>
    </row>
    <row r="2239" spans="1:4">
      <c r="A2239" s="42" t="s">
        <v>2301</v>
      </c>
      <c r="B2239">
        <f>IFERROR(FIND('Simulador IR 2025'!$I$29, A2239), 0)</f>
        <v>1</v>
      </c>
      <c r="C2239">
        <f>IF(B2239&gt;0, MAX($C$2:C2238)+1, "")</f>
        <v>2237</v>
      </c>
      <c r="D2239" t="str">
        <f t="shared" si="34"/>
        <v/>
      </c>
    </row>
    <row r="2240" spans="1:4">
      <c r="A2240" s="42" t="s">
        <v>2302</v>
      </c>
      <c r="B2240">
        <f>IFERROR(FIND('Simulador IR 2025'!$I$29, A2240), 0)</f>
        <v>1</v>
      </c>
      <c r="C2240">
        <f>IF(B2240&gt;0, MAX($C$2:C2239)+1, "")</f>
        <v>2238</v>
      </c>
      <c r="D2240" t="str">
        <f t="shared" si="34"/>
        <v/>
      </c>
    </row>
    <row r="2241" spans="1:4">
      <c r="A2241" s="42" t="s">
        <v>2303</v>
      </c>
      <c r="B2241">
        <f>IFERROR(FIND('Simulador IR 2025'!$I$29, A2241), 0)</f>
        <v>1</v>
      </c>
      <c r="C2241">
        <f>IF(B2241&gt;0, MAX($C$2:C2240)+1, "")</f>
        <v>2239</v>
      </c>
      <c r="D2241" t="str">
        <f t="shared" si="34"/>
        <v/>
      </c>
    </row>
    <row r="2242" spans="1:4">
      <c r="A2242" s="42" t="s">
        <v>2304</v>
      </c>
      <c r="B2242">
        <f>IFERROR(FIND('Simulador IR 2025'!$I$29, A2242), 0)</f>
        <v>1</v>
      </c>
      <c r="C2242">
        <f>IF(B2242&gt;0, MAX($C$2:C2241)+1, "")</f>
        <v>2240</v>
      </c>
      <c r="D2242" t="str">
        <f t="shared" si="34"/>
        <v/>
      </c>
    </row>
    <row r="2243" spans="1:4">
      <c r="A2243" s="42" t="s">
        <v>2305</v>
      </c>
      <c r="B2243">
        <f>IFERROR(FIND('Simulador IR 2025'!$I$29, A2243), 0)</f>
        <v>1</v>
      </c>
      <c r="C2243">
        <f>IF(B2243&gt;0, MAX($C$2:C2242)+1, "")</f>
        <v>2241</v>
      </c>
      <c r="D2243" t="str">
        <f t="shared" si="34"/>
        <v/>
      </c>
    </row>
    <row r="2244" spans="1:4">
      <c r="A2244" s="42" t="s">
        <v>2306</v>
      </c>
      <c r="B2244">
        <f>IFERROR(FIND('Simulador IR 2025'!$I$29, A2244), 0)</f>
        <v>1</v>
      </c>
      <c r="C2244">
        <f>IF(B2244&gt;0, MAX($C$2:C2243)+1, "")</f>
        <v>2242</v>
      </c>
      <c r="D2244" t="str">
        <f t="shared" ref="D2244:D2307" si="35">IFERROR(VLOOKUP(ROW(A2242), $A$3:$C$2681, -2, FALSE), "")</f>
        <v/>
      </c>
    </row>
    <row r="2245" spans="1:4">
      <c r="A2245" s="42" t="s">
        <v>2307</v>
      </c>
      <c r="B2245">
        <f>IFERROR(FIND('Simulador IR 2025'!$I$29, A2245), 0)</f>
        <v>1</v>
      </c>
      <c r="C2245">
        <f>IF(B2245&gt;0, MAX($C$2:C2244)+1, "")</f>
        <v>2243</v>
      </c>
      <c r="D2245" t="str">
        <f t="shared" si="35"/>
        <v/>
      </c>
    </row>
    <row r="2246" spans="1:4">
      <c r="A2246" s="42" t="s">
        <v>2308</v>
      </c>
      <c r="B2246">
        <f>IFERROR(FIND('Simulador IR 2025'!$I$29, A2246), 0)</f>
        <v>1</v>
      </c>
      <c r="C2246">
        <f>IF(B2246&gt;0, MAX($C$2:C2245)+1, "")</f>
        <v>2244</v>
      </c>
      <c r="D2246" t="str">
        <f t="shared" si="35"/>
        <v/>
      </c>
    </row>
    <row r="2247" spans="1:4">
      <c r="A2247" s="42" t="s">
        <v>2309</v>
      </c>
      <c r="B2247">
        <f>IFERROR(FIND('Simulador IR 2025'!$I$29, A2247), 0)</f>
        <v>1</v>
      </c>
      <c r="C2247">
        <f>IF(B2247&gt;0, MAX($C$2:C2246)+1, "")</f>
        <v>2245</v>
      </c>
      <c r="D2247" t="str">
        <f t="shared" si="35"/>
        <v/>
      </c>
    </row>
    <row r="2248" spans="1:4">
      <c r="A2248" s="42" t="s">
        <v>2310</v>
      </c>
      <c r="B2248">
        <f>IFERROR(FIND('Simulador IR 2025'!$I$29, A2248), 0)</f>
        <v>1</v>
      </c>
      <c r="C2248">
        <f>IF(B2248&gt;0, MAX($C$2:C2247)+1, "")</f>
        <v>2246</v>
      </c>
      <c r="D2248" t="str">
        <f t="shared" si="35"/>
        <v/>
      </c>
    </row>
    <row r="2249" spans="1:4">
      <c r="A2249" s="42" t="s">
        <v>2311</v>
      </c>
      <c r="B2249">
        <f>IFERROR(FIND('Simulador IR 2025'!$I$29, A2249), 0)</f>
        <v>1</v>
      </c>
      <c r="C2249">
        <f>IF(B2249&gt;0, MAX($C$2:C2248)+1, "")</f>
        <v>2247</v>
      </c>
      <c r="D2249" t="str">
        <f t="shared" si="35"/>
        <v/>
      </c>
    </row>
    <row r="2250" spans="1:4">
      <c r="A2250" s="42" t="s">
        <v>2312</v>
      </c>
      <c r="B2250">
        <f>IFERROR(FIND('Simulador IR 2025'!$I$29, A2250), 0)</f>
        <v>1</v>
      </c>
      <c r="C2250">
        <f>IF(B2250&gt;0, MAX($C$2:C2249)+1, "")</f>
        <v>2248</v>
      </c>
      <c r="D2250" t="str">
        <f t="shared" si="35"/>
        <v/>
      </c>
    </row>
    <row r="2251" spans="1:4">
      <c r="A2251" s="42" t="s">
        <v>2313</v>
      </c>
      <c r="B2251">
        <f>IFERROR(FIND('Simulador IR 2025'!$I$29, A2251), 0)</f>
        <v>1</v>
      </c>
      <c r="C2251">
        <f>IF(B2251&gt;0, MAX($C$2:C2250)+1, "")</f>
        <v>2249</v>
      </c>
      <c r="D2251" t="str">
        <f t="shared" si="35"/>
        <v/>
      </c>
    </row>
    <row r="2252" spans="1:4">
      <c r="A2252" s="42" t="s">
        <v>2314</v>
      </c>
      <c r="B2252">
        <f>IFERROR(FIND('Simulador IR 2025'!$I$29, A2252), 0)</f>
        <v>1</v>
      </c>
      <c r="C2252">
        <f>IF(B2252&gt;0, MAX($C$2:C2251)+1, "")</f>
        <v>2250</v>
      </c>
      <c r="D2252" t="str">
        <f t="shared" si="35"/>
        <v/>
      </c>
    </row>
    <row r="2253" spans="1:4">
      <c r="A2253" s="42" t="s">
        <v>2315</v>
      </c>
      <c r="B2253">
        <f>IFERROR(FIND('Simulador IR 2025'!$I$29, A2253), 0)</f>
        <v>1</v>
      </c>
      <c r="C2253">
        <f>IF(B2253&gt;0, MAX($C$2:C2252)+1, "")</f>
        <v>2251</v>
      </c>
      <c r="D2253" t="str">
        <f t="shared" si="35"/>
        <v/>
      </c>
    </row>
    <row r="2254" spans="1:4">
      <c r="A2254" s="42" t="s">
        <v>2316</v>
      </c>
      <c r="B2254">
        <f>IFERROR(FIND('Simulador IR 2025'!$I$29, A2254), 0)</f>
        <v>1</v>
      </c>
      <c r="C2254">
        <f>IF(B2254&gt;0, MAX($C$2:C2253)+1, "")</f>
        <v>2252</v>
      </c>
      <c r="D2254" t="str">
        <f t="shared" si="35"/>
        <v/>
      </c>
    </row>
    <row r="2255" spans="1:4">
      <c r="A2255" s="42" t="s">
        <v>2317</v>
      </c>
      <c r="B2255">
        <f>IFERROR(FIND('Simulador IR 2025'!$I$29, A2255), 0)</f>
        <v>1</v>
      </c>
      <c r="C2255">
        <f>IF(B2255&gt;0, MAX($C$2:C2254)+1, "")</f>
        <v>2253</v>
      </c>
      <c r="D2255" t="str">
        <f t="shared" si="35"/>
        <v/>
      </c>
    </row>
    <row r="2256" spans="1:4">
      <c r="A2256" s="42" t="s">
        <v>2318</v>
      </c>
      <c r="B2256">
        <f>IFERROR(FIND('Simulador IR 2025'!$I$29, A2256), 0)</f>
        <v>1</v>
      </c>
      <c r="C2256">
        <f>IF(B2256&gt;0, MAX($C$2:C2255)+1, "")</f>
        <v>2254</v>
      </c>
      <c r="D2256" t="str">
        <f t="shared" si="35"/>
        <v/>
      </c>
    </row>
    <row r="2257" spans="1:4">
      <c r="A2257" s="42" t="s">
        <v>2319</v>
      </c>
      <c r="B2257">
        <f>IFERROR(FIND('Simulador IR 2025'!$I$29, A2257), 0)</f>
        <v>1</v>
      </c>
      <c r="C2257">
        <f>IF(B2257&gt;0, MAX($C$2:C2256)+1, "")</f>
        <v>2255</v>
      </c>
      <c r="D2257" t="str">
        <f t="shared" si="35"/>
        <v/>
      </c>
    </row>
    <row r="2258" spans="1:4">
      <c r="A2258" s="42" t="s">
        <v>2320</v>
      </c>
      <c r="B2258">
        <f>IFERROR(FIND('Simulador IR 2025'!$I$29, A2258), 0)</f>
        <v>1</v>
      </c>
      <c r="C2258">
        <f>IF(B2258&gt;0, MAX($C$2:C2257)+1, "")</f>
        <v>2256</v>
      </c>
      <c r="D2258" t="str">
        <f t="shared" si="35"/>
        <v/>
      </c>
    </row>
    <row r="2259" spans="1:4">
      <c r="A2259" s="42" t="s">
        <v>2321</v>
      </c>
      <c r="B2259">
        <f>IFERROR(FIND('Simulador IR 2025'!$I$29, A2259), 0)</f>
        <v>1</v>
      </c>
      <c r="C2259">
        <f>IF(B2259&gt;0, MAX($C$2:C2258)+1, "")</f>
        <v>2257</v>
      </c>
      <c r="D2259" t="str">
        <f t="shared" si="35"/>
        <v/>
      </c>
    </row>
    <row r="2260" spans="1:4">
      <c r="A2260" s="42" t="s">
        <v>2322</v>
      </c>
      <c r="B2260">
        <f>IFERROR(FIND('Simulador IR 2025'!$I$29, A2260), 0)</f>
        <v>1</v>
      </c>
      <c r="C2260">
        <f>IF(B2260&gt;0, MAX($C$2:C2259)+1, "")</f>
        <v>2258</v>
      </c>
      <c r="D2260" t="str">
        <f t="shared" si="35"/>
        <v/>
      </c>
    </row>
    <row r="2261" spans="1:4">
      <c r="A2261" s="42" t="s">
        <v>2323</v>
      </c>
      <c r="B2261">
        <f>IFERROR(FIND('Simulador IR 2025'!$I$29, A2261), 0)</f>
        <v>1</v>
      </c>
      <c r="C2261">
        <f>IF(B2261&gt;0, MAX($C$2:C2260)+1, "")</f>
        <v>2259</v>
      </c>
      <c r="D2261" t="str">
        <f t="shared" si="35"/>
        <v/>
      </c>
    </row>
    <row r="2262" spans="1:4">
      <c r="A2262" s="42" t="s">
        <v>2324</v>
      </c>
      <c r="B2262">
        <f>IFERROR(FIND('Simulador IR 2025'!$I$29, A2262), 0)</f>
        <v>1</v>
      </c>
      <c r="C2262">
        <f>IF(B2262&gt;0, MAX($C$2:C2261)+1, "")</f>
        <v>2260</v>
      </c>
      <c r="D2262" t="str">
        <f t="shared" si="35"/>
        <v/>
      </c>
    </row>
    <row r="2263" spans="1:4">
      <c r="A2263" s="42" t="s">
        <v>2325</v>
      </c>
      <c r="B2263">
        <f>IFERROR(FIND('Simulador IR 2025'!$I$29, A2263), 0)</f>
        <v>1</v>
      </c>
      <c r="C2263">
        <f>IF(B2263&gt;0, MAX($C$2:C2262)+1, "")</f>
        <v>2261</v>
      </c>
      <c r="D2263" t="str">
        <f t="shared" si="35"/>
        <v/>
      </c>
    </row>
    <row r="2264" spans="1:4">
      <c r="A2264" s="42" t="s">
        <v>2326</v>
      </c>
      <c r="B2264">
        <f>IFERROR(FIND('Simulador IR 2025'!$I$29, A2264), 0)</f>
        <v>1</v>
      </c>
      <c r="C2264">
        <f>IF(B2264&gt;0, MAX($C$2:C2263)+1, "")</f>
        <v>2262</v>
      </c>
      <c r="D2264" t="str">
        <f t="shared" si="35"/>
        <v/>
      </c>
    </row>
    <row r="2265" spans="1:4">
      <c r="A2265" s="42" t="s">
        <v>2327</v>
      </c>
      <c r="B2265">
        <f>IFERROR(FIND('Simulador IR 2025'!$I$29, A2265), 0)</f>
        <v>1</v>
      </c>
      <c r="C2265">
        <f>IF(B2265&gt;0, MAX($C$2:C2264)+1, "")</f>
        <v>2263</v>
      </c>
      <c r="D2265" t="str">
        <f t="shared" si="35"/>
        <v/>
      </c>
    </row>
    <row r="2266" spans="1:4">
      <c r="A2266" s="42" t="s">
        <v>2328</v>
      </c>
      <c r="B2266">
        <f>IFERROR(FIND('Simulador IR 2025'!$I$29, A2266), 0)</f>
        <v>1</v>
      </c>
      <c r="C2266">
        <f>IF(B2266&gt;0, MAX($C$2:C2265)+1, "")</f>
        <v>2264</v>
      </c>
      <c r="D2266" t="str">
        <f t="shared" si="35"/>
        <v/>
      </c>
    </row>
    <row r="2267" spans="1:4">
      <c r="A2267" s="42" t="s">
        <v>2329</v>
      </c>
      <c r="B2267">
        <f>IFERROR(FIND('Simulador IR 2025'!$I$29, A2267), 0)</f>
        <v>1</v>
      </c>
      <c r="C2267">
        <f>IF(B2267&gt;0, MAX($C$2:C2266)+1, "")</f>
        <v>2265</v>
      </c>
      <c r="D2267" t="str">
        <f t="shared" si="35"/>
        <v/>
      </c>
    </row>
    <row r="2268" spans="1:4">
      <c r="A2268" s="42" t="s">
        <v>2330</v>
      </c>
      <c r="B2268">
        <f>IFERROR(FIND('Simulador IR 2025'!$I$29, A2268), 0)</f>
        <v>1</v>
      </c>
      <c r="C2268">
        <f>IF(B2268&gt;0, MAX($C$2:C2267)+1, "")</f>
        <v>2266</v>
      </c>
      <c r="D2268" t="str">
        <f t="shared" si="35"/>
        <v/>
      </c>
    </row>
    <row r="2269" spans="1:4">
      <c r="A2269" s="42" t="s">
        <v>2331</v>
      </c>
      <c r="B2269">
        <f>IFERROR(FIND('Simulador IR 2025'!$I$29, A2269), 0)</f>
        <v>1</v>
      </c>
      <c r="C2269">
        <f>IF(B2269&gt;0, MAX($C$2:C2268)+1, "")</f>
        <v>2267</v>
      </c>
      <c r="D2269" t="str">
        <f t="shared" si="35"/>
        <v/>
      </c>
    </row>
    <row r="2270" spans="1:4">
      <c r="A2270" s="42" t="s">
        <v>2332</v>
      </c>
      <c r="B2270">
        <f>IFERROR(FIND('Simulador IR 2025'!$I$29, A2270), 0)</f>
        <v>1</v>
      </c>
      <c r="C2270">
        <f>IF(B2270&gt;0, MAX($C$2:C2269)+1, "")</f>
        <v>2268</v>
      </c>
      <c r="D2270" t="str">
        <f t="shared" si="35"/>
        <v/>
      </c>
    </row>
    <row r="2271" spans="1:4">
      <c r="A2271" s="42" t="s">
        <v>2333</v>
      </c>
      <c r="B2271">
        <f>IFERROR(FIND('Simulador IR 2025'!$I$29, A2271), 0)</f>
        <v>1</v>
      </c>
      <c r="C2271">
        <f>IF(B2271&gt;0, MAX($C$2:C2270)+1, "")</f>
        <v>2269</v>
      </c>
      <c r="D2271" t="str">
        <f t="shared" si="35"/>
        <v/>
      </c>
    </row>
    <row r="2272" spans="1:4">
      <c r="A2272" s="42" t="s">
        <v>2334</v>
      </c>
      <c r="B2272">
        <f>IFERROR(FIND('Simulador IR 2025'!$I$29, A2272), 0)</f>
        <v>1</v>
      </c>
      <c r="C2272">
        <f>IF(B2272&gt;0, MAX($C$2:C2271)+1, "")</f>
        <v>2270</v>
      </c>
      <c r="D2272" t="str">
        <f t="shared" si="35"/>
        <v/>
      </c>
    </row>
    <row r="2273" spans="1:4">
      <c r="A2273" s="42" t="s">
        <v>2335</v>
      </c>
      <c r="B2273">
        <f>IFERROR(FIND('Simulador IR 2025'!$I$29, A2273), 0)</f>
        <v>1</v>
      </c>
      <c r="C2273">
        <f>IF(B2273&gt;0, MAX($C$2:C2272)+1, "")</f>
        <v>2271</v>
      </c>
      <c r="D2273" t="str">
        <f t="shared" si="35"/>
        <v/>
      </c>
    </row>
    <row r="2274" spans="1:4">
      <c r="A2274" s="42" t="s">
        <v>2336</v>
      </c>
      <c r="B2274">
        <f>IFERROR(FIND('Simulador IR 2025'!$I$29, A2274), 0)</f>
        <v>1</v>
      </c>
      <c r="C2274">
        <f>IF(B2274&gt;0, MAX($C$2:C2273)+1, "")</f>
        <v>2272</v>
      </c>
      <c r="D2274" t="str">
        <f t="shared" si="35"/>
        <v/>
      </c>
    </row>
    <row r="2275" spans="1:4">
      <c r="A2275" s="42" t="s">
        <v>2337</v>
      </c>
      <c r="B2275">
        <f>IFERROR(FIND('Simulador IR 2025'!$I$29, A2275), 0)</f>
        <v>1</v>
      </c>
      <c r="C2275">
        <f>IF(B2275&gt;0, MAX($C$2:C2274)+1, "")</f>
        <v>2273</v>
      </c>
      <c r="D2275" t="str">
        <f t="shared" si="35"/>
        <v/>
      </c>
    </row>
    <row r="2276" spans="1:4">
      <c r="A2276" s="42" t="s">
        <v>2338</v>
      </c>
      <c r="B2276">
        <f>IFERROR(FIND('Simulador IR 2025'!$I$29, A2276), 0)</f>
        <v>1</v>
      </c>
      <c r="C2276">
        <f>IF(B2276&gt;0, MAX($C$2:C2275)+1, "")</f>
        <v>2274</v>
      </c>
      <c r="D2276" t="str">
        <f t="shared" si="35"/>
        <v/>
      </c>
    </row>
    <row r="2277" spans="1:4">
      <c r="A2277" s="42" t="s">
        <v>2339</v>
      </c>
      <c r="B2277">
        <f>IFERROR(FIND('Simulador IR 2025'!$I$29, A2277), 0)</f>
        <v>1</v>
      </c>
      <c r="C2277">
        <f>IF(B2277&gt;0, MAX($C$2:C2276)+1, "")</f>
        <v>2275</v>
      </c>
      <c r="D2277" t="str">
        <f t="shared" si="35"/>
        <v/>
      </c>
    </row>
    <row r="2278" spans="1:4">
      <c r="A2278" s="42" t="s">
        <v>2340</v>
      </c>
      <c r="B2278">
        <f>IFERROR(FIND('Simulador IR 2025'!$I$29, A2278), 0)</f>
        <v>1</v>
      </c>
      <c r="C2278">
        <f>IF(B2278&gt;0, MAX($C$2:C2277)+1, "")</f>
        <v>2276</v>
      </c>
      <c r="D2278" t="str">
        <f t="shared" si="35"/>
        <v/>
      </c>
    </row>
    <row r="2279" spans="1:4">
      <c r="A2279" s="42" t="s">
        <v>2341</v>
      </c>
      <c r="B2279">
        <f>IFERROR(FIND('Simulador IR 2025'!$I$29, A2279), 0)</f>
        <v>1</v>
      </c>
      <c r="C2279">
        <f>IF(B2279&gt;0, MAX($C$2:C2278)+1, "")</f>
        <v>2277</v>
      </c>
      <c r="D2279" t="str">
        <f t="shared" si="35"/>
        <v/>
      </c>
    </row>
    <row r="2280" spans="1:4">
      <c r="A2280" s="42" t="s">
        <v>2342</v>
      </c>
      <c r="B2280">
        <f>IFERROR(FIND('Simulador IR 2025'!$I$29, A2280), 0)</f>
        <v>1</v>
      </c>
      <c r="C2280">
        <f>IF(B2280&gt;0, MAX($C$2:C2279)+1, "")</f>
        <v>2278</v>
      </c>
      <c r="D2280" t="str">
        <f t="shared" si="35"/>
        <v/>
      </c>
    </row>
    <row r="2281" spans="1:4">
      <c r="A2281" s="42" t="s">
        <v>2343</v>
      </c>
      <c r="B2281">
        <f>IFERROR(FIND('Simulador IR 2025'!$I$29, A2281), 0)</f>
        <v>1</v>
      </c>
      <c r="C2281">
        <f>IF(B2281&gt;0, MAX($C$2:C2280)+1, "")</f>
        <v>2279</v>
      </c>
      <c r="D2281" t="str">
        <f t="shared" si="35"/>
        <v/>
      </c>
    </row>
    <row r="2282" spans="1:4">
      <c r="A2282" s="42" t="s">
        <v>2344</v>
      </c>
      <c r="B2282">
        <f>IFERROR(FIND('Simulador IR 2025'!$I$29, A2282), 0)</f>
        <v>1</v>
      </c>
      <c r="C2282">
        <f>IF(B2282&gt;0, MAX($C$2:C2281)+1, "")</f>
        <v>2280</v>
      </c>
      <c r="D2282" t="str">
        <f t="shared" si="35"/>
        <v/>
      </c>
    </row>
    <row r="2283" spans="1:4">
      <c r="A2283" s="42" t="s">
        <v>2345</v>
      </c>
      <c r="B2283">
        <f>IFERROR(FIND('Simulador IR 2025'!$I$29, A2283), 0)</f>
        <v>1</v>
      </c>
      <c r="C2283">
        <f>IF(B2283&gt;0, MAX($C$2:C2282)+1, "")</f>
        <v>2281</v>
      </c>
      <c r="D2283" t="str">
        <f t="shared" si="35"/>
        <v/>
      </c>
    </row>
    <row r="2284" spans="1:4">
      <c r="A2284" s="42" t="s">
        <v>2346</v>
      </c>
      <c r="B2284">
        <f>IFERROR(FIND('Simulador IR 2025'!$I$29, A2284), 0)</f>
        <v>1</v>
      </c>
      <c r="C2284">
        <f>IF(B2284&gt;0, MAX($C$2:C2283)+1, "")</f>
        <v>2282</v>
      </c>
      <c r="D2284" t="str">
        <f t="shared" si="35"/>
        <v/>
      </c>
    </row>
    <row r="2285" spans="1:4">
      <c r="A2285" s="42" t="s">
        <v>2347</v>
      </c>
      <c r="B2285">
        <f>IFERROR(FIND('Simulador IR 2025'!$I$29, A2285), 0)</f>
        <v>1</v>
      </c>
      <c r="C2285">
        <f>IF(B2285&gt;0, MAX($C$2:C2284)+1, "")</f>
        <v>2283</v>
      </c>
      <c r="D2285" t="str">
        <f t="shared" si="35"/>
        <v/>
      </c>
    </row>
    <row r="2286" spans="1:4">
      <c r="A2286" s="42" t="s">
        <v>2348</v>
      </c>
      <c r="B2286">
        <f>IFERROR(FIND('Simulador IR 2025'!$I$29, A2286), 0)</f>
        <v>1</v>
      </c>
      <c r="C2286">
        <f>IF(B2286&gt;0, MAX($C$2:C2285)+1, "")</f>
        <v>2284</v>
      </c>
      <c r="D2286" t="str">
        <f t="shared" si="35"/>
        <v/>
      </c>
    </row>
    <row r="2287" spans="1:4">
      <c r="A2287" s="42" t="s">
        <v>2349</v>
      </c>
      <c r="B2287">
        <f>IFERROR(FIND('Simulador IR 2025'!$I$29, A2287), 0)</f>
        <v>1</v>
      </c>
      <c r="C2287">
        <f>IF(B2287&gt;0, MAX($C$2:C2286)+1, "")</f>
        <v>2285</v>
      </c>
      <c r="D2287" t="str">
        <f t="shared" si="35"/>
        <v/>
      </c>
    </row>
    <row r="2288" spans="1:4">
      <c r="A2288" s="42" t="s">
        <v>2350</v>
      </c>
      <c r="B2288">
        <f>IFERROR(FIND('Simulador IR 2025'!$I$29, A2288), 0)</f>
        <v>1</v>
      </c>
      <c r="C2288">
        <f>IF(B2288&gt;0, MAX($C$2:C2287)+1, "")</f>
        <v>2286</v>
      </c>
      <c r="D2288" t="str">
        <f t="shared" si="35"/>
        <v/>
      </c>
    </row>
    <row r="2289" spans="1:4">
      <c r="A2289" s="42" t="s">
        <v>2351</v>
      </c>
      <c r="B2289">
        <f>IFERROR(FIND('Simulador IR 2025'!$I$29, A2289), 0)</f>
        <v>1</v>
      </c>
      <c r="C2289">
        <f>IF(B2289&gt;0, MAX($C$2:C2288)+1, "")</f>
        <v>2287</v>
      </c>
      <c r="D2289" t="str">
        <f t="shared" si="35"/>
        <v/>
      </c>
    </row>
    <row r="2290" spans="1:4">
      <c r="A2290" s="42" t="s">
        <v>2352</v>
      </c>
      <c r="B2290">
        <f>IFERROR(FIND('Simulador IR 2025'!$I$29, A2290), 0)</f>
        <v>1</v>
      </c>
      <c r="C2290">
        <f>IF(B2290&gt;0, MAX($C$2:C2289)+1, "")</f>
        <v>2288</v>
      </c>
      <c r="D2290" t="str">
        <f t="shared" si="35"/>
        <v/>
      </c>
    </row>
    <row r="2291" spans="1:4">
      <c r="A2291" s="42" t="s">
        <v>2353</v>
      </c>
      <c r="B2291">
        <f>IFERROR(FIND('Simulador IR 2025'!$I$29, A2291), 0)</f>
        <v>1</v>
      </c>
      <c r="C2291">
        <f>IF(B2291&gt;0, MAX($C$2:C2290)+1, "")</f>
        <v>2289</v>
      </c>
      <c r="D2291" t="str">
        <f t="shared" si="35"/>
        <v/>
      </c>
    </row>
    <row r="2292" spans="1:4">
      <c r="A2292" s="42" t="s">
        <v>2354</v>
      </c>
      <c r="B2292">
        <f>IFERROR(FIND('Simulador IR 2025'!$I$29, A2292), 0)</f>
        <v>1</v>
      </c>
      <c r="C2292">
        <f>IF(B2292&gt;0, MAX($C$2:C2291)+1, "")</f>
        <v>2290</v>
      </c>
      <c r="D2292" t="str">
        <f t="shared" si="35"/>
        <v/>
      </c>
    </row>
    <row r="2293" spans="1:4">
      <c r="A2293" s="42" t="s">
        <v>2355</v>
      </c>
      <c r="B2293">
        <f>IFERROR(FIND('Simulador IR 2025'!$I$29, A2293), 0)</f>
        <v>1</v>
      </c>
      <c r="C2293">
        <f>IF(B2293&gt;0, MAX($C$2:C2292)+1, "")</f>
        <v>2291</v>
      </c>
      <c r="D2293" t="str">
        <f t="shared" si="35"/>
        <v/>
      </c>
    </row>
    <row r="2294" spans="1:4">
      <c r="A2294" s="42" t="s">
        <v>2356</v>
      </c>
      <c r="B2294">
        <f>IFERROR(FIND('Simulador IR 2025'!$I$29, A2294), 0)</f>
        <v>1</v>
      </c>
      <c r="C2294">
        <f>IF(B2294&gt;0, MAX($C$2:C2293)+1, "")</f>
        <v>2292</v>
      </c>
      <c r="D2294" t="str">
        <f t="shared" si="35"/>
        <v/>
      </c>
    </row>
    <row r="2295" spans="1:4">
      <c r="A2295" s="42" t="s">
        <v>2357</v>
      </c>
      <c r="B2295">
        <f>IFERROR(FIND('Simulador IR 2025'!$I$29, A2295), 0)</f>
        <v>1</v>
      </c>
      <c r="C2295">
        <f>IF(B2295&gt;0, MAX($C$2:C2294)+1, "")</f>
        <v>2293</v>
      </c>
      <c r="D2295" t="str">
        <f t="shared" si="35"/>
        <v/>
      </c>
    </row>
    <row r="2296" spans="1:4">
      <c r="A2296" s="42" t="s">
        <v>2358</v>
      </c>
      <c r="B2296">
        <f>IFERROR(FIND('Simulador IR 2025'!$I$29, A2296), 0)</f>
        <v>1</v>
      </c>
      <c r="C2296">
        <f>IF(B2296&gt;0, MAX($C$2:C2295)+1, "")</f>
        <v>2294</v>
      </c>
      <c r="D2296" t="str">
        <f t="shared" si="35"/>
        <v/>
      </c>
    </row>
    <row r="2297" spans="1:4">
      <c r="A2297" s="42" t="s">
        <v>2359</v>
      </c>
      <c r="B2297">
        <f>IFERROR(FIND('Simulador IR 2025'!$I$29, A2297), 0)</f>
        <v>1</v>
      </c>
      <c r="C2297">
        <f>IF(B2297&gt;0, MAX($C$2:C2296)+1, "")</f>
        <v>2295</v>
      </c>
      <c r="D2297" t="str">
        <f t="shared" si="35"/>
        <v/>
      </c>
    </row>
    <row r="2298" spans="1:4">
      <c r="A2298" s="42" t="s">
        <v>2360</v>
      </c>
      <c r="B2298">
        <f>IFERROR(FIND('Simulador IR 2025'!$I$29, A2298), 0)</f>
        <v>1</v>
      </c>
      <c r="C2298">
        <f>IF(B2298&gt;0, MAX($C$2:C2297)+1, "")</f>
        <v>2296</v>
      </c>
      <c r="D2298" t="str">
        <f t="shared" si="35"/>
        <v/>
      </c>
    </row>
    <row r="2299" spans="1:4">
      <c r="A2299" s="42" t="s">
        <v>2361</v>
      </c>
      <c r="B2299">
        <f>IFERROR(FIND('Simulador IR 2025'!$I$29, A2299), 0)</f>
        <v>1</v>
      </c>
      <c r="C2299">
        <f>IF(B2299&gt;0, MAX($C$2:C2298)+1, "")</f>
        <v>2297</v>
      </c>
      <c r="D2299" t="str">
        <f t="shared" si="35"/>
        <v/>
      </c>
    </row>
    <row r="2300" spans="1:4">
      <c r="A2300" s="42" t="s">
        <v>2362</v>
      </c>
      <c r="B2300">
        <f>IFERROR(FIND('Simulador IR 2025'!$I$29, A2300), 0)</f>
        <v>1</v>
      </c>
      <c r="C2300">
        <f>IF(B2300&gt;0, MAX($C$2:C2299)+1, "")</f>
        <v>2298</v>
      </c>
      <c r="D2300" t="str">
        <f t="shared" si="35"/>
        <v/>
      </c>
    </row>
    <row r="2301" spans="1:4">
      <c r="A2301" s="42" t="s">
        <v>2363</v>
      </c>
      <c r="B2301">
        <f>IFERROR(FIND('Simulador IR 2025'!$I$29, A2301), 0)</f>
        <v>1</v>
      </c>
      <c r="C2301">
        <f>IF(B2301&gt;0, MAX($C$2:C2300)+1, "")</f>
        <v>2299</v>
      </c>
      <c r="D2301" t="str">
        <f t="shared" si="35"/>
        <v/>
      </c>
    </row>
    <row r="2302" spans="1:4">
      <c r="A2302" s="42" t="s">
        <v>2364</v>
      </c>
      <c r="B2302">
        <f>IFERROR(FIND('Simulador IR 2025'!$I$29, A2302), 0)</f>
        <v>1</v>
      </c>
      <c r="C2302">
        <f>IF(B2302&gt;0, MAX($C$2:C2301)+1, "")</f>
        <v>2300</v>
      </c>
      <c r="D2302" t="str">
        <f t="shared" si="35"/>
        <v/>
      </c>
    </row>
    <row r="2303" spans="1:4">
      <c r="A2303" s="42" t="s">
        <v>2365</v>
      </c>
      <c r="B2303">
        <f>IFERROR(FIND('Simulador IR 2025'!$I$29, A2303), 0)</f>
        <v>1</v>
      </c>
      <c r="C2303">
        <f>IF(B2303&gt;0, MAX($C$2:C2302)+1, "")</f>
        <v>2301</v>
      </c>
      <c r="D2303" t="str">
        <f t="shared" si="35"/>
        <v/>
      </c>
    </row>
    <row r="2304" spans="1:4">
      <c r="A2304" s="42" t="s">
        <v>2366</v>
      </c>
      <c r="B2304">
        <f>IFERROR(FIND('Simulador IR 2025'!$I$29, A2304), 0)</f>
        <v>1</v>
      </c>
      <c r="C2304">
        <f>IF(B2304&gt;0, MAX($C$2:C2303)+1, "")</f>
        <v>2302</v>
      </c>
      <c r="D2304" t="str">
        <f t="shared" si="35"/>
        <v/>
      </c>
    </row>
    <row r="2305" spans="1:4">
      <c r="A2305" s="42" t="s">
        <v>2367</v>
      </c>
      <c r="B2305">
        <f>IFERROR(FIND('Simulador IR 2025'!$I$29, A2305), 0)</f>
        <v>1</v>
      </c>
      <c r="C2305">
        <f>IF(B2305&gt;0, MAX($C$2:C2304)+1, "")</f>
        <v>2303</v>
      </c>
      <c r="D2305" t="str">
        <f t="shared" si="35"/>
        <v/>
      </c>
    </row>
    <row r="2306" spans="1:4">
      <c r="A2306" s="42" t="s">
        <v>2368</v>
      </c>
      <c r="B2306">
        <f>IFERROR(FIND('Simulador IR 2025'!$I$29, A2306), 0)</f>
        <v>1</v>
      </c>
      <c r="C2306">
        <f>IF(B2306&gt;0, MAX($C$2:C2305)+1, "")</f>
        <v>2304</v>
      </c>
      <c r="D2306" t="str">
        <f t="shared" si="35"/>
        <v/>
      </c>
    </row>
    <row r="2307" spans="1:4">
      <c r="A2307" s="42" t="s">
        <v>2369</v>
      </c>
      <c r="B2307">
        <f>IFERROR(FIND('Simulador IR 2025'!$I$29, A2307), 0)</f>
        <v>1</v>
      </c>
      <c r="C2307">
        <f>IF(B2307&gt;0, MAX($C$2:C2306)+1, "")</f>
        <v>2305</v>
      </c>
      <c r="D2307" t="str">
        <f t="shared" si="35"/>
        <v/>
      </c>
    </row>
    <row r="2308" spans="1:4">
      <c r="A2308" s="42" t="s">
        <v>2370</v>
      </c>
      <c r="B2308">
        <f>IFERROR(FIND('Simulador IR 2025'!$I$29, A2308), 0)</f>
        <v>1</v>
      </c>
      <c r="C2308">
        <f>IF(B2308&gt;0, MAX($C$2:C2307)+1, "")</f>
        <v>2306</v>
      </c>
      <c r="D2308" t="str">
        <f t="shared" ref="D2308:D2371" si="36">IFERROR(VLOOKUP(ROW(A2306), $A$3:$C$2681, -2, FALSE), "")</f>
        <v/>
      </c>
    </row>
    <row r="2309" spans="1:4">
      <c r="A2309" s="42" t="s">
        <v>2371</v>
      </c>
      <c r="B2309">
        <f>IFERROR(FIND('Simulador IR 2025'!$I$29, A2309), 0)</f>
        <v>1</v>
      </c>
      <c r="C2309">
        <f>IF(B2309&gt;0, MAX($C$2:C2308)+1, "")</f>
        <v>2307</v>
      </c>
      <c r="D2309" t="str">
        <f t="shared" si="36"/>
        <v/>
      </c>
    </row>
    <row r="2310" spans="1:4">
      <c r="A2310" s="42" t="s">
        <v>2372</v>
      </c>
      <c r="B2310">
        <f>IFERROR(FIND('Simulador IR 2025'!$I$29, A2310), 0)</f>
        <v>1</v>
      </c>
      <c r="C2310">
        <f>IF(B2310&gt;0, MAX($C$2:C2309)+1, "")</f>
        <v>2308</v>
      </c>
      <c r="D2310" t="str">
        <f t="shared" si="36"/>
        <v/>
      </c>
    </row>
    <row r="2311" spans="1:4">
      <c r="A2311" s="42" t="s">
        <v>2373</v>
      </c>
      <c r="B2311">
        <f>IFERROR(FIND('Simulador IR 2025'!$I$29, A2311), 0)</f>
        <v>1</v>
      </c>
      <c r="C2311">
        <f>IF(B2311&gt;0, MAX($C$2:C2310)+1, "")</f>
        <v>2309</v>
      </c>
      <c r="D2311" t="str">
        <f t="shared" si="36"/>
        <v/>
      </c>
    </row>
    <row r="2312" spans="1:4">
      <c r="A2312" s="42" t="s">
        <v>2374</v>
      </c>
      <c r="B2312">
        <f>IFERROR(FIND('Simulador IR 2025'!$I$29, A2312), 0)</f>
        <v>1</v>
      </c>
      <c r="C2312">
        <f>IF(B2312&gt;0, MAX($C$2:C2311)+1, "")</f>
        <v>2310</v>
      </c>
      <c r="D2312" t="str">
        <f t="shared" si="36"/>
        <v/>
      </c>
    </row>
    <row r="2313" spans="1:4">
      <c r="A2313" s="42" t="s">
        <v>2375</v>
      </c>
      <c r="B2313">
        <f>IFERROR(FIND('Simulador IR 2025'!$I$29, A2313), 0)</f>
        <v>1</v>
      </c>
      <c r="C2313">
        <f>IF(B2313&gt;0, MAX($C$2:C2312)+1, "")</f>
        <v>2311</v>
      </c>
      <c r="D2313" t="str">
        <f t="shared" si="36"/>
        <v/>
      </c>
    </row>
    <row r="2314" spans="1:4">
      <c r="A2314" s="42" t="s">
        <v>2376</v>
      </c>
      <c r="B2314">
        <f>IFERROR(FIND('Simulador IR 2025'!$I$29, A2314), 0)</f>
        <v>1</v>
      </c>
      <c r="C2314">
        <f>IF(B2314&gt;0, MAX($C$2:C2313)+1, "")</f>
        <v>2312</v>
      </c>
      <c r="D2314" t="str">
        <f t="shared" si="36"/>
        <v/>
      </c>
    </row>
    <row r="2315" spans="1:4">
      <c r="A2315" s="42" t="s">
        <v>2377</v>
      </c>
      <c r="B2315">
        <f>IFERROR(FIND('Simulador IR 2025'!$I$29, A2315), 0)</f>
        <v>1</v>
      </c>
      <c r="C2315">
        <f>IF(B2315&gt;0, MAX($C$2:C2314)+1, "")</f>
        <v>2313</v>
      </c>
      <c r="D2315" t="str">
        <f t="shared" si="36"/>
        <v/>
      </c>
    </row>
    <row r="2316" spans="1:4">
      <c r="A2316" s="42" t="s">
        <v>2378</v>
      </c>
      <c r="B2316">
        <f>IFERROR(FIND('Simulador IR 2025'!$I$29, A2316), 0)</f>
        <v>1</v>
      </c>
      <c r="C2316">
        <f>IF(B2316&gt;0, MAX($C$2:C2315)+1, "")</f>
        <v>2314</v>
      </c>
      <c r="D2316" t="str">
        <f t="shared" si="36"/>
        <v/>
      </c>
    </row>
    <row r="2317" spans="1:4">
      <c r="A2317" s="42" t="s">
        <v>2379</v>
      </c>
      <c r="B2317">
        <f>IFERROR(FIND('Simulador IR 2025'!$I$29, A2317), 0)</f>
        <v>1</v>
      </c>
      <c r="C2317">
        <f>IF(B2317&gt;0, MAX($C$2:C2316)+1, "")</f>
        <v>2315</v>
      </c>
      <c r="D2317" t="str">
        <f t="shared" si="36"/>
        <v/>
      </c>
    </row>
    <row r="2318" spans="1:4">
      <c r="A2318" s="42" t="s">
        <v>2380</v>
      </c>
      <c r="B2318">
        <f>IFERROR(FIND('Simulador IR 2025'!$I$29, A2318), 0)</f>
        <v>1</v>
      </c>
      <c r="C2318">
        <f>IF(B2318&gt;0, MAX($C$2:C2317)+1, "")</f>
        <v>2316</v>
      </c>
      <c r="D2318" t="str">
        <f t="shared" si="36"/>
        <v/>
      </c>
    </row>
    <row r="2319" spans="1:4">
      <c r="A2319" s="42" t="s">
        <v>2381</v>
      </c>
      <c r="B2319">
        <f>IFERROR(FIND('Simulador IR 2025'!$I$29, A2319), 0)</f>
        <v>1</v>
      </c>
      <c r="C2319">
        <f>IF(B2319&gt;0, MAX($C$2:C2318)+1, "")</f>
        <v>2317</v>
      </c>
      <c r="D2319" t="str">
        <f t="shared" si="36"/>
        <v/>
      </c>
    </row>
    <row r="2320" spans="1:4">
      <c r="A2320" s="42" t="s">
        <v>2382</v>
      </c>
      <c r="B2320">
        <f>IFERROR(FIND('Simulador IR 2025'!$I$29, A2320), 0)</f>
        <v>1</v>
      </c>
      <c r="C2320">
        <f>IF(B2320&gt;0, MAX($C$2:C2319)+1, "")</f>
        <v>2318</v>
      </c>
      <c r="D2320" t="str">
        <f t="shared" si="36"/>
        <v/>
      </c>
    </row>
    <row r="2321" spans="1:4">
      <c r="A2321" s="42" t="s">
        <v>2383</v>
      </c>
      <c r="B2321">
        <f>IFERROR(FIND('Simulador IR 2025'!$I$29, A2321), 0)</f>
        <v>1</v>
      </c>
      <c r="C2321">
        <f>IF(B2321&gt;0, MAX($C$2:C2320)+1, "")</f>
        <v>2319</v>
      </c>
      <c r="D2321" t="str">
        <f t="shared" si="36"/>
        <v/>
      </c>
    </row>
    <row r="2322" spans="1:4">
      <c r="A2322" s="42" t="s">
        <v>2384</v>
      </c>
      <c r="B2322">
        <f>IFERROR(FIND('Simulador IR 2025'!$I$29, A2322), 0)</f>
        <v>1</v>
      </c>
      <c r="C2322">
        <f>IF(B2322&gt;0, MAX($C$2:C2321)+1, "")</f>
        <v>2320</v>
      </c>
      <c r="D2322" t="str">
        <f t="shared" si="36"/>
        <v/>
      </c>
    </row>
    <row r="2323" spans="1:4">
      <c r="A2323" s="42" t="s">
        <v>2385</v>
      </c>
      <c r="B2323">
        <f>IFERROR(FIND('Simulador IR 2025'!$I$29, A2323), 0)</f>
        <v>1</v>
      </c>
      <c r="C2323">
        <f>IF(B2323&gt;0, MAX($C$2:C2322)+1, "")</f>
        <v>2321</v>
      </c>
      <c r="D2323" t="str">
        <f t="shared" si="36"/>
        <v/>
      </c>
    </row>
    <row r="2324" spans="1:4">
      <c r="A2324" s="42" t="s">
        <v>2386</v>
      </c>
      <c r="B2324">
        <f>IFERROR(FIND('Simulador IR 2025'!$I$29, A2324), 0)</f>
        <v>1</v>
      </c>
      <c r="C2324">
        <f>IF(B2324&gt;0, MAX($C$2:C2323)+1, "")</f>
        <v>2322</v>
      </c>
      <c r="D2324" t="str">
        <f t="shared" si="36"/>
        <v/>
      </c>
    </row>
    <row r="2325" spans="1:4">
      <c r="A2325" s="42" t="s">
        <v>2387</v>
      </c>
      <c r="B2325">
        <f>IFERROR(FIND('Simulador IR 2025'!$I$29, A2325), 0)</f>
        <v>1</v>
      </c>
      <c r="C2325">
        <f>IF(B2325&gt;0, MAX($C$2:C2324)+1, "")</f>
        <v>2323</v>
      </c>
      <c r="D2325" t="str">
        <f t="shared" si="36"/>
        <v/>
      </c>
    </row>
    <row r="2326" spans="1:4">
      <c r="A2326" s="42" t="s">
        <v>2388</v>
      </c>
      <c r="B2326">
        <f>IFERROR(FIND('Simulador IR 2025'!$I$29, A2326), 0)</f>
        <v>1</v>
      </c>
      <c r="C2326">
        <f>IF(B2326&gt;0, MAX($C$2:C2325)+1, "")</f>
        <v>2324</v>
      </c>
      <c r="D2326" t="str">
        <f t="shared" si="36"/>
        <v/>
      </c>
    </row>
    <row r="2327" spans="1:4">
      <c r="A2327" s="42" t="s">
        <v>2389</v>
      </c>
      <c r="B2327">
        <f>IFERROR(FIND('Simulador IR 2025'!$I$29, A2327), 0)</f>
        <v>1</v>
      </c>
      <c r="C2327">
        <f>IF(B2327&gt;0, MAX($C$2:C2326)+1, "")</f>
        <v>2325</v>
      </c>
      <c r="D2327" t="str">
        <f t="shared" si="36"/>
        <v/>
      </c>
    </row>
    <row r="2328" spans="1:4">
      <c r="A2328" s="42" t="s">
        <v>2390</v>
      </c>
      <c r="B2328">
        <f>IFERROR(FIND('Simulador IR 2025'!$I$29, A2328), 0)</f>
        <v>1</v>
      </c>
      <c r="C2328">
        <f>IF(B2328&gt;0, MAX($C$2:C2327)+1, "")</f>
        <v>2326</v>
      </c>
      <c r="D2328" t="str">
        <f t="shared" si="36"/>
        <v/>
      </c>
    </row>
    <row r="2329" spans="1:4">
      <c r="A2329" s="42" t="s">
        <v>2391</v>
      </c>
      <c r="B2329">
        <f>IFERROR(FIND('Simulador IR 2025'!$I$29, A2329), 0)</f>
        <v>1</v>
      </c>
      <c r="C2329">
        <f>IF(B2329&gt;0, MAX($C$2:C2328)+1, "")</f>
        <v>2327</v>
      </c>
      <c r="D2329" t="str">
        <f t="shared" si="36"/>
        <v/>
      </c>
    </row>
    <row r="2330" spans="1:4">
      <c r="A2330" s="42" t="s">
        <v>2392</v>
      </c>
      <c r="B2330">
        <f>IFERROR(FIND('Simulador IR 2025'!$I$29, A2330), 0)</f>
        <v>1</v>
      </c>
      <c r="C2330">
        <f>IF(B2330&gt;0, MAX($C$2:C2329)+1, "")</f>
        <v>2328</v>
      </c>
      <c r="D2330" t="str">
        <f t="shared" si="36"/>
        <v/>
      </c>
    </row>
    <row r="2331" spans="1:4">
      <c r="A2331" s="42" t="s">
        <v>2393</v>
      </c>
      <c r="B2331">
        <f>IFERROR(FIND('Simulador IR 2025'!$I$29, A2331), 0)</f>
        <v>1</v>
      </c>
      <c r="C2331">
        <f>IF(B2331&gt;0, MAX($C$2:C2330)+1, "")</f>
        <v>2329</v>
      </c>
      <c r="D2331" t="str">
        <f t="shared" si="36"/>
        <v/>
      </c>
    </row>
    <row r="2332" spans="1:4">
      <c r="A2332" s="42" t="s">
        <v>2394</v>
      </c>
      <c r="B2332">
        <f>IFERROR(FIND('Simulador IR 2025'!$I$29, A2332), 0)</f>
        <v>1</v>
      </c>
      <c r="C2332">
        <f>IF(B2332&gt;0, MAX($C$2:C2331)+1, "")</f>
        <v>2330</v>
      </c>
      <c r="D2332" t="str">
        <f t="shared" si="36"/>
        <v/>
      </c>
    </row>
    <row r="2333" spans="1:4">
      <c r="A2333" s="42" t="s">
        <v>2395</v>
      </c>
      <c r="B2333">
        <f>IFERROR(FIND('Simulador IR 2025'!$I$29, A2333), 0)</f>
        <v>1</v>
      </c>
      <c r="C2333">
        <f>IF(B2333&gt;0, MAX($C$2:C2332)+1, "")</f>
        <v>2331</v>
      </c>
      <c r="D2333" t="str">
        <f t="shared" si="36"/>
        <v/>
      </c>
    </row>
    <row r="2334" spans="1:4">
      <c r="A2334" s="42" t="s">
        <v>2396</v>
      </c>
      <c r="B2334">
        <f>IFERROR(FIND('Simulador IR 2025'!$I$29, A2334), 0)</f>
        <v>1</v>
      </c>
      <c r="C2334">
        <f>IF(B2334&gt;0, MAX($C$2:C2333)+1, "")</f>
        <v>2332</v>
      </c>
      <c r="D2334" t="str">
        <f t="shared" si="36"/>
        <v/>
      </c>
    </row>
    <row r="2335" spans="1:4">
      <c r="A2335" s="42" t="s">
        <v>2397</v>
      </c>
      <c r="B2335">
        <f>IFERROR(FIND('Simulador IR 2025'!$I$29, A2335), 0)</f>
        <v>1</v>
      </c>
      <c r="C2335">
        <f>IF(B2335&gt;0, MAX($C$2:C2334)+1, "")</f>
        <v>2333</v>
      </c>
      <c r="D2335" t="str">
        <f t="shared" si="36"/>
        <v/>
      </c>
    </row>
    <row r="2336" spans="1:4">
      <c r="A2336" s="42" t="s">
        <v>2398</v>
      </c>
      <c r="B2336">
        <f>IFERROR(FIND('Simulador IR 2025'!$I$29, A2336), 0)</f>
        <v>1</v>
      </c>
      <c r="C2336">
        <f>IF(B2336&gt;0, MAX($C$2:C2335)+1, "")</f>
        <v>2334</v>
      </c>
      <c r="D2336" t="str">
        <f t="shared" si="36"/>
        <v/>
      </c>
    </row>
    <row r="2337" spans="1:4">
      <c r="A2337" s="42" t="s">
        <v>2399</v>
      </c>
      <c r="B2337">
        <f>IFERROR(FIND('Simulador IR 2025'!$I$29, A2337), 0)</f>
        <v>1</v>
      </c>
      <c r="C2337">
        <f>IF(B2337&gt;0, MAX($C$2:C2336)+1, "")</f>
        <v>2335</v>
      </c>
      <c r="D2337" t="str">
        <f t="shared" si="36"/>
        <v/>
      </c>
    </row>
    <row r="2338" spans="1:4">
      <c r="A2338" s="42" t="s">
        <v>2400</v>
      </c>
      <c r="B2338">
        <f>IFERROR(FIND('Simulador IR 2025'!$I$29, A2338), 0)</f>
        <v>1</v>
      </c>
      <c r="C2338">
        <f>IF(B2338&gt;0, MAX($C$2:C2337)+1, "")</f>
        <v>2336</v>
      </c>
      <c r="D2338" t="str">
        <f t="shared" si="36"/>
        <v/>
      </c>
    </row>
    <row r="2339" spans="1:4">
      <c r="A2339" s="42" t="s">
        <v>2401</v>
      </c>
      <c r="B2339">
        <f>IFERROR(FIND('Simulador IR 2025'!$I$29, A2339), 0)</f>
        <v>1</v>
      </c>
      <c r="C2339">
        <f>IF(B2339&gt;0, MAX($C$2:C2338)+1, "")</f>
        <v>2337</v>
      </c>
      <c r="D2339" t="str">
        <f t="shared" si="36"/>
        <v/>
      </c>
    </row>
    <row r="2340" spans="1:4">
      <c r="A2340" s="42" t="s">
        <v>2402</v>
      </c>
      <c r="B2340">
        <f>IFERROR(FIND('Simulador IR 2025'!$I$29, A2340), 0)</f>
        <v>1</v>
      </c>
      <c r="C2340">
        <f>IF(B2340&gt;0, MAX($C$2:C2339)+1, "")</f>
        <v>2338</v>
      </c>
      <c r="D2340" t="str">
        <f t="shared" si="36"/>
        <v/>
      </c>
    </row>
    <row r="2341" spans="1:4">
      <c r="A2341" s="42" t="s">
        <v>2403</v>
      </c>
      <c r="B2341">
        <f>IFERROR(FIND('Simulador IR 2025'!$I$29, A2341), 0)</f>
        <v>1</v>
      </c>
      <c r="C2341">
        <f>IF(B2341&gt;0, MAX($C$2:C2340)+1, "")</f>
        <v>2339</v>
      </c>
      <c r="D2341" t="str">
        <f t="shared" si="36"/>
        <v/>
      </c>
    </row>
    <row r="2342" spans="1:4">
      <c r="A2342" s="42" t="s">
        <v>2404</v>
      </c>
      <c r="B2342">
        <f>IFERROR(FIND('Simulador IR 2025'!$I$29, A2342), 0)</f>
        <v>1</v>
      </c>
      <c r="C2342">
        <f>IF(B2342&gt;0, MAX($C$2:C2341)+1, "")</f>
        <v>2340</v>
      </c>
      <c r="D2342" t="str">
        <f t="shared" si="36"/>
        <v/>
      </c>
    </row>
    <row r="2343" spans="1:4">
      <c r="A2343" s="42" t="s">
        <v>2405</v>
      </c>
      <c r="B2343">
        <f>IFERROR(FIND('Simulador IR 2025'!$I$29, A2343), 0)</f>
        <v>1</v>
      </c>
      <c r="C2343">
        <f>IF(B2343&gt;0, MAX($C$2:C2342)+1, "")</f>
        <v>2341</v>
      </c>
      <c r="D2343" t="str">
        <f t="shared" si="36"/>
        <v/>
      </c>
    </row>
    <row r="2344" spans="1:4">
      <c r="A2344" s="42" t="s">
        <v>2406</v>
      </c>
      <c r="B2344">
        <f>IFERROR(FIND('Simulador IR 2025'!$I$29, A2344), 0)</f>
        <v>1</v>
      </c>
      <c r="C2344">
        <f>IF(B2344&gt;0, MAX($C$2:C2343)+1, "")</f>
        <v>2342</v>
      </c>
      <c r="D2344" t="str">
        <f t="shared" si="36"/>
        <v/>
      </c>
    </row>
    <row r="2345" spans="1:4">
      <c r="A2345" s="42" t="s">
        <v>2407</v>
      </c>
      <c r="B2345">
        <f>IFERROR(FIND('Simulador IR 2025'!$I$29, A2345), 0)</f>
        <v>1</v>
      </c>
      <c r="C2345">
        <f>IF(B2345&gt;0, MAX($C$2:C2344)+1, "")</f>
        <v>2343</v>
      </c>
      <c r="D2345" t="str">
        <f t="shared" si="36"/>
        <v/>
      </c>
    </row>
    <row r="2346" spans="1:4">
      <c r="A2346" s="42" t="s">
        <v>2408</v>
      </c>
      <c r="B2346">
        <f>IFERROR(FIND('Simulador IR 2025'!$I$29, A2346), 0)</f>
        <v>1</v>
      </c>
      <c r="C2346">
        <f>IF(B2346&gt;0, MAX($C$2:C2345)+1, "")</f>
        <v>2344</v>
      </c>
      <c r="D2346" t="str">
        <f t="shared" si="36"/>
        <v/>
      </c>
    </row>
    <row r="2347" spans="1:4">
      <c r="A2347" s="42" t="s">
        <v>2409</v>
      </c>
      <c r="B2347">
        <f>IFERROR(FIND('Simulador IR 2025'!$I$29, A2347), 0)</f>
        <v>1</v>
      </c>
      <c r="C2347">
        <f>IF(B2347&gt;0, MAX($C$2:C2346)+1, "")</f>
        <v>2345</v>
      </c>
      <c r="D2347" t="str">
        <f t="shared" si="36"/>
        <v/>
      </c>
    </row>
    <row r="2348" spans="1:4">
      <c r="A2348" s="42" t="s">
        <v>2410</v>
      </c>
      <c r="B2348">
        <f>IFERROR(FIND('Simulador IR 2025'!$I$29, A2348), 0)</f>
        <v>1</v>
      </c>
      <c r="C2348">
        <f>IF(B2348&gt;0, MAX($C$2:C2347)+1, "")</f>
        <v>2346</v>
      </c>
      <c r="D2348" t="str">
        <f t="shared" si="36"/>
        <v/>
      </c>
    </row>
    <row r="2349" spans="1:4">
      <c r="A2349" s="42" t="s">
        <v>2411</v>
      </c>
      <c r="B2349">
        <f>IFERROR(FIND('Simulador IR 2025'!$I$29, A2349), 0)</f>
        <v>1</v>
      </c>
      <c r="C2349">
        <f>IF(B2349&gt;0, MAX($C$2:C2348)+1, "")</f>
        <v>2347</v>
      </c>
      <c r="D2349" t="str">
        <f t="shared" si="36"/>
        <v/>
      </c>
    </row>
    <row r="2350" spans="1:4">
      <c r="A2350" s="42" t="s">
        <v>2412</v>
      </c>
      <c r="B2350">
        <f>IFERROR(FIND('Simulador IR 2025'!$I$29, A2350), 0)</f>
        <v>1</v>
      </c>
      <c r="C2350">
        <f>IF(B2350&gt;0, MAX($C$2:C2349)+1, "")</f>
        <v>2348</v>
      </c>
      <c r="D2350" t="str">
        <f t="shared" si="36"/>
        <v/>
      </c>
    </row>
    <row r="2351" spans="1:4">
      <c r="A2351" s="42" t="s">
        <v>2413</v>
      </c>
      <c r="B2351">
        <f>IFERROR(FIND('Simulador IR 2025'!$I$29, A2351), 0)</f>
        <v>1</v>
      </c>
      <c r="C2351">
        <f>IF(B2351&gt;0, MAX($C$2:C2350)+1, "")</f>
        <v>2349</v>
      </c>
      <c r="D2351" t="str">
        <f t="shared" si="36"/>
        <v/>
      </c>
    </row>
    <row r="2352" spans="1:4">
      <c r="A2352" s="42" t="s">
        <v>2414</v>
      </c>
      <c r="B2352">
        <f>IFERROR(FIND('Simulador IR 2025'!$I$29, A2352), 0)</f>
        <v>1</v>
      </c>
      <c r="C2352">
        <f>IF(B2352&gt;0, MAX($C$2:C2351)+1, "")</f>
        <v>2350</v>
      </c>
      <c r="D2352" t="str">
        <f t="shared" si="36"/>
        <v/>
      </c>
    </row>
    <row r="2353" spans="1:4">
      <c r="A2353" s="42" t="s">
        <v>2415</v>
      </c>
      <c r="B2353">
        <f>IFERROR(FIND('Simulador IR 2025'!$I$29, A2353), 0)</f>
        <v>1</v>
      </c>
      <c r="C2353">
        <f>IF(B2353&gt;0, MAX($C$2:C2352)+1, "")</f>
        <v>2351</v>
      </c>
      <c r="D2353" t="str">
        <f t="shared" si="36"/>
        <v/>
      </c>
    </row>
    <row r="2354" spans="1:4">
      <c r="A2354" s="42" t="s">
        <v>2416</v>
      </c>
      <c r="B2354">
        <f>IFERROR(FIND('Simulador IR 2025'!$I$29, A2354), 0)</f>
        <v>1</v>
      </c>
      <c r="C2354">
        <f>IF(B2354&gt;0, MAX($C$2:C2353)+1, "")</f>
        <v>2352</v>
      </c>
      <c r="D2354" t="str">
        <f t="shared" si="36"/>
        <v/>
      </c>
    </row>
    <row r="2355" spans="1:4">
      <c r="A2355" s="42" t="s">
        <v>2417</v>
      </c>
      <c r="B2355">
        <f>IFERROR(FIND('Simulador IR 2025'!$I$29, A2355), 0)</f>
        <v>1</v>
      </c>
      <c r="C2355">
        <f>IF(B2355&gt;0, MAX($C$2:C2354)+1, "")</f>
        <v>2353</v>
      </c>
      <c r="D2355" t="str">
        <f t="shared" si="36"/>
        <v/>
      </c>
    </row>
    <row r="2356" spans="1:4">
      <c r="A2356" s="42" t="s">
        <v>2418</v>
      </c>
      <c r="B2356">
        <f>IFERROR(FIND('Simulador IR 2025'!$I$29, A2356), 0)</f>
        <v>1</v>
      </c>
      <c r="C2356">
        <f>IF(B2356&gt;0, MAX($C$2:C2355)+1, "")</f>
        <v>2354</v>
      </c>
      <c r="D2356" t="str">
        <f t="shared" si="36"/>
        <v/>
      </c>
    </row>
    <row r="2357" spans="1:4">
      <c r="A2357" s="42" t="s">
        <v>2419</v>
      </c>
      <c r="B2357">
        <f>IFERROR(FIND('Simulador IR 2025'!$I$29, A2357), 0)</f>
        <v>1</v>
      </c>
      <c r="C2357">
        <f>IF(B2357&gt;0, MAX($C$2:C2356)+1, "")</f>
        <v>2355</v>
      </c>
      <c r="D2357" t="str">
        <f t="shared" si="36"/>
        <v/>
      </c>
    </row>
    <row r="2358" spans="1:4">
      <c r="A2358" s="42" t="s">
        <v>2420</v>
      </c>
      <c r="B2358">
        <f>IFERROR(FIND('Simulador IR 2025'!$I$29, A2358), 0)</f>
        <v>1</v>
      </c>
      <c r="C2358">
        <f>IF(B2358&gt;0, MAX($C$2:C2357)+1, "")</f>
        <v>2356</v>
      </c>
      <c r="D2358" t="str">
        <f t="shared" si="36"/>
        <v/>
      </c>
    </row>
    <row r="2359" spans="1:4">
      <c r="A2359" s="42" t="s">
        <v>2421</v>
      </c>
      <c r="B2359">
        <f>IFERROR(FIND('Simulador IR 2025'!$I$29, A2359), 0)</f>
        <v>1</v>
      </c>
      <c r="C2359">
        <f>IF(B2359&gt;0, MAX($C$2:C2358)+1, "")</f>
        <v>2357</v>
      </c>
      <c r="D2359" t="str">
        <f t="shared" si="36"/>
        <v/>
      </c>
    </row>
    <row r="2360" spans="1:4">
      <c r="A2360" s="42" t="s">
        <v>2422</v>
      </c>
      <c r="B2360">
        <f>IFERROR(FIND('Simulador IR 2025'!$I$29, A2360), 0)</f>
        <v>1</v>
      </c>
      <c r="C2360">
        <f>IF(B2360&gt;0, MAX($C$2:C2359)+1, "")</f>
        <v>2358</v>
      </c>
      <c r="D2360" t="str">
        <f t="shared" si="36"/>
        <v/>
      </c>
    </row>
    <row r="2361" spans="1:4">
      <c r="A2361" s="42" t="s">
        <v>2423</v>
      </c>
      <c r="B2361">
        <f>IFERROR(FIND('Simulador IR 2025'!$I$29, A2361), 0)</f>
        <v>1</v>
      </c>
      <c r="C2361">
        <f>IF(B2361&gt;0, MAX($C$2:C2360)+1, "")</f>
        <v>2359</v>
      </c>
      <c r="D2361" t="str">
        <f t="shared" si="36"/>
        <v/>
      </c>
    </row>
    <row r="2362" spans="1:4">
      <c r="A2362" s="42" t="s">
        <v>2424</v>
      </c>
      <c r="B2362">
        <f>IFERROR(FIND('Simulador IR 2025'!$I$29, A2362), 0)</f>
        <v>1</v>
      </c>
      <c r="C2362">
        <f>IF(B2362&gt;0, MAX($C$2:C2361)+1, "")</f>
        <v>2360</v>
      </c>
      <c r="D2362" t="str">
        <f t="shared" si="36"/>
        <v/>
      </c>
    </row>
    <row r="2363" spans="1:4">
      <c r="A2363" s="42" t="s">
        <v>2425</v>
      </c>
      <c r="B2363">
        <f>IFERROR(FIND('Simulador IR 2025'!$I$29, A2363), 0)</f>
        <v>1</v>
      </c>
      <c r="C2363">
        <f>IF(B2363&gt;0, MAX($C$2:C2362)+1, "")</f>
        <v>2361</v>
      </c>
      <c r="D2363" t="str">
        <f t="shared" si="36"/>
        <v/>
      </c>
    </row>
    <row r="2364" spans="1:4">
      <c r="A2364" s="42" t="s">
        <v>2426</v>
      </c>
      <c r="B2364">
        <f>IFERROR(FIND('Simulador IR 2025'!$I$29, A2364), 0)</f>
        <v>1</v>
      </c>
      <c r="C2364">
        <f>IF(B2364&gt;0, MAX($C$2:C2363)+1, "")</f>
        <v>2362</v>
      </c>
      <c r="D2364" t="str">
        <f t="shared" si="36"/>
        <v/>
      </c>
    </row>
    <row r="2365" spans="1:4">
      <c r="A2365" s="42" t="s">
        <v>2427</v>
      </c>
      <c r="B2365">
        <f>IFERROR(FIND('Simulador IR 2025'!$I$29, A2365), 0)</f>
        <v>1</v>
      </c>
      <c r="C2365">
        <f>IF(B2365&gt;0, MAX($C$2:C2364)+1, "")</f>
        <v>2363</v>
      </c>
      <c r="D2365" t="str">
        <f t="shared" si="36"/>
        <v/>
      </c>
    </row>
    <row r="2366" spans="1:4">
      <c r="A2366" s="42" t="s">
        <v>2428</v>
      </c>
      <c r="B2366">
        <f>IFERROR(FIND('Simulador IR 2025'!$I$29, A2366), 0)</f>
        <v>1</v>
      </c>
      <c r="C2366">
        <f>IF(B2366&gt;0, MAX($C$2:C2365)+1, "")</f>
        <v>2364</v>
      </c>
      <c r="D2366" t="str">
        <f t="shared" si="36"/>
        <v/>
      </c>
    </row>
    <row r="2367" spans="1:4">
      <c r="A2367" s="42" t="s">
        <v>2429</v>
      </c>
      <c r="B2367">
        <f>IFERROR(FIND('Simulador IR 2025'!$I$29, A2367), 0)</f>
        <v>1</v>
      </c>
      <c r="C2367">
        <f>IF(B2367&gt;0, MAX($C$2:C2366)+1, "")</f>
        <v>2365</v>
      </c>
      <c r="D2367" t="str">
        <f t="shared" si="36"/>
        <v/>
      </c>
    </row>
    <row r="2368" spans="1:4">
      <c r="A2368" s="42" t="s">
        <v>2430</v>
      </c>
      <c r="B2368">
        <f>IFERROR(FIND('Simulador IR 2025'!$I$29, A2368), 0)</f>
        <v>1</v>
      </c>
      <c r="C2368">
        <f>IF(B2368&gt;0, MAX($C$2:C2367)+1, "")</f>
        <v>2366</v>
      </c>
      <c r="D2368" t="str">
        <f t="shared" si="36"/>
        <v/>
      </c>
    </row>
    <row r="2369" spans="1:4">
      <c r="A2369" s="42" t="s">
        <v>2431</v>
      </c>
      <c r="B2369">
        <f>IFERROR(FIND('Simulador IR 2025'!$I$29, A2369), 0)</f>
        <v>1</v>
      </c>
      <c r="C2369">
        <f>IF(B2369&gt;0, MAX($C$2:C2368)+1, "")</f>
        <v>2367</v>
      </c>
      <c r="D2369" t="str">
        <f t="shared" si="36"/>
        <v/>
      </c>
    </row>
    <row r="2370" spans="1:4">
      <c r="A2370" s="42" t="s">
        <v>2432</v>
      </c>
      <c r="B2370">
        <f>IFERROR(FIND('Simulador IR 2025'!$I$29, A2370), 0)</f>
        <v>1</v>
      </c>
      <c r="C2370">
        <f>IF(B2370&gt;0, MAX($C$2:C2369)+1, "")</f>
        <v>2368</v>
      </c>
      <c r="D2370" t="str">
        <f t="shared" si="36"/>
        <v/>
      </c>
    </row>
    <row r="2371" spans="1:4">
      <c r="A2371" s="42" t="s">
        <v>2433</v>
      </c>
      <c r="B2371">
        <f>IFERROR(FIND('Simulador IR 2025'!$I$29, A2371), 0)</f>
        <v>1</v>
      </c>
      <c r="C2371">
        <f>IF(B2371&gt;0, MAX($C$2:C2370)+1, "")</f>
        <v>2369</v>
      </c>
      <c r="D2371" t="str">
        <f t="shared" si="36"/>
        <v/>
      </c>
    </row>
    <row r="2372" spans="1:4">
      <c r="A2372" s="42" t="s">
        <v>2434</v>
      </c>
      <c r="B2372">
        <f>IFERROR(FIND('Simulador IR 2025'!$I$29, A2372), 0)</f>
        <v>1</v>
      </c>
      <c r="C2372">
        <f>IF(B2372&gt;0, MAX($C$2:C2371)+1, "")</f>
        <v>2370</v>
      </c>
      <c r="D2372" t="str">
        <f t="shared" ref="D2372:D2435" si="37">IFERROR(VLOOKUP(ROW(A2370), $A$3:$C$2681, -2, FALSE), "")</f>
        <v/>
      </c>
    </row>
    <row r="2373" spans="1:4">
      <c r="A2373" s="42" t="s">
        <v>2435</v>
      </c>
      <c r="B2373">
        <f>IFERROR(FIND('Simulador IR 2025'!$I$29, A2373), 0)</f>
        <v>1</v>
      </c>
      <c r="C2373">
        <f>IF(B2373&gt;0, MAX($C$2:C2372)+1, "")</f>
        <v>2371</v>
      </c>
      <c r="D2373" t="str">
        <f t="shared" si="37"/>
        <v/>
      </c>
    </row>
    <row r="2374" spans="1:4">
      <c r="A2374" s="42" t="s">
        <v>2436</v>
      </c>
      <c r="B2374">
        <f>IFERROR(FIND('Simulador IR 2025'!$I$29, A2374), 0)</f>
        <v>1</v>
      </c>
      <c r="C2374">
        <f>IF(B2374&gt;0, MAX($C$2:C2373)+1, "")</f>
        <v>2372</v>
      </c>
      <c r="D2374" t="str">
        <f t="shared" si="37"/>
        <v/>
      </c>
    </row>
    <row r="2375" spans="1:4">
      <c r="A2375" s="42" t="s">
        <v>2437</v>
      </c>
      <c r="B2375">
        <f>IFERROR(FIND('Simulador IR 2025'!$I$29, A2375), 0)</f>
        <v>1</v>
      </c>
      <c r="C2375">
        <f>IF(B2375&gt;0, MAX($C$2:C2374)+1, "")</f>
        <v>2373</v>
      </c>
      <c r="D2375" t="str">
        <f t="shared" si="37"/>
        <v/>
      </c>
    </row>
    <row r="2376" spans="1:4">
      <c r="A2376" s="42" t="s">
        <v>2438</v>
      </c>
      <c r="B2376">
        <f>IFERROR(FIND('Simulador IR 2025'!$I$29, A2376), 0)</f>
        <v>1</v>
      </c>
      <c r="C2376">
        <f>IF(B2376&gt;0, MAX($C$2:C2375)+1, "")</f>
        <v>2374</v>
      </c>
      <c r="D2376" t="str">
        <f t="shared" si="37"/>
        <v/>
      </c>
    </row>
    <row r="2377" spans="1:4">
      <c r="A2377" s="42" t="s">
        <v>2439</v>
      </c>
      <c r="B2377">
        <f>IFERROR(FIND('Simulador IR 2025'!$I$29, A2377), 0)</f>
        <v>1</v>
      </c>
      <c r="C2377">
        <f>IF(B2377&gt;0, MAX($C$2:C2376)+1, "")</f>
        <v>2375</v>
      </c>
      <c r="D2377" t="str">
        <f t="shared" si="37"/>
        <v/>
      </c>
    </row>
    <row r="2378" spans="1:4">
      <c r="A2378" s="42" t="s">
        <v>2440</v>
      </c>
      <c r="B2378">
        <f>IFERROR(FIND('Simulador IR 2025'!$I$29, A2378), 0)</f>
        <v>1</v>
      </c>
      <c r="C2378">
        <f>IF(B2378&gt;0, MAX($C$2:C2377)+1, "")</f>
        <v>2376</v>
      </c>
      <c r="D2378" t="str">
        <f t="shared" si="37"/>
        <v/>
      </c>
    </row>
    <row r="2379" spans="1:4">
      <c r="A2379" s="42" t="s">
        <v>2441</v>
      </c>
      <c r="B2379">
        <f>IFERROR(FIND('Simulador IR 2025'!$I$29, A2379), 0)</f>
        <v>1</v>
      </c>
      <c r="C2379">
        <f>IF(B2379&gt;0, MAX($C$2:C2378)+1, "")</f>
        <v>2377</v>
      </c>
      <c r="D2379" t="str">
        <f t="shared" si="37"/>
        <v/>
      </c>
    </row>
    <row r="2380" spans="1:4">
      <c r="A2380" s="42" t="s">
        <v>2442</v>
      </c>
      <c r="B2380">
        <f>IFERROR(FIND('Simulador IR 2025'!$I$29, A2380), 0)</f>
        <v>1</v>
      </c>
      <c r="C2380">
        <f>IF(B2380&gt;0, MAX($C$2:C2379)+1, "")</f>
        <v>2378</v>
      </c>
      <c r="D2380" t="str">
        <f t="shared" si="37"/>
        <v/>
      </c>
    </row>
    <row r="2381" spans="1:4">
      <c r="A2381" s="42" t="s">
        <v>2443</v>
      </c>
      <c r="B2381">
        <f>IFERROR(FIND('Simulador IR 2025'!$I$29, A2381), 0)</f>
        <v>1</v>
      </c>
      <c r="C2381">
        <f>IF(B2381&gt;0, MAX($C$2:C2380)+1, "")</f>
        <v>2379</v>
      </c>
      <c r="D2381" t="str">
        <f t="shared" si="37"/>
        <v/>
      </c>
    </row>
    <row r="2382" spans="1:4">
      <c r="A2382" s="42" t="s">
        <v>2444</v>
      </c>
      <c r="B2382">
        <f>IFERROR(FIND('Simulador IR 2025'!$I$29, A2382), 0)</f>
        <v>1</v>
      </c>
      <c r="C2382">
        <f>IF(B2382&gt;0, MAX($C$2:C2381)+1, "")</f>
        <v>2380</v>
      </c>
      <c r="D2382" t="str">
        <f t="shared" si="37"/>
        <v/>
      </c>
    </row>
    <row r="2383" spans="1:4">
      <c r="A2383" s="42" t="s">
        <v>2445</v>
      </c>
      <c r="B2383">
        <f>IFERROR(FIND('Simulador IR 2025'!$I$29, A2383), 0)</f>
        <v>1</v>
      </c>
      <c r="C2383">
        <f>IF(B2383&gt;0, MAX($C$2:C2382)+1, "")</f>
        <v>2381</v>
      </c>
      <c r="D2383" t="str">
        <f t="shared" si="37"/>
        <v/>
      </c>
    </row>
    <row r="2384" spans="1:4">
      <c r="A2384" s="42" t="s">
        <v>2446</v>
      </c>
      <c r="B2384">
        <f>IFERROR(FIND('Simulador IR 2025'!$I$29, A2384), 0)</f>
        <v>1</v>
      </c>
      <c r="C2384">
        <f>IF(B2384&gt;0, MAX($C$2:C2383)+1, "")</f>
        <v>2382</v>
      </c>
      <c r="D2384" t="str">
        <f t="shared" si="37"/>
        <v/>
      </c>
    </row>
    <row r="2385" spans="1:4">
      <c r="A2385" s="42" t="s">
        <v>2447</v>
      </c>
      <c r="B2385">
        <f>IFERROR(FIND('Simulador IR 2025'!$I$29, A2385), 0)</f>
        <v>1</v>
      </c>
      <c r="C2385">
        <f>IF(B2385&gt;0, MAX($C$2:C2384)+1, "")</f>
        <v>2383</v>
      </c>
      <c r="D2385" t="str">
        <f t="shared" si="37"/>
        <v/>
      </c>
    </row>
    <row r="2386" spans="1:4">
      <c r="A2386" s="42" t="s">
        <v>2448</v>
      </c>
      <c r="B2386">
        <f>IFERROR(FIND('Simulador IR 2025'!$I$29, A2386), 0)</f>
        <v>1</v>
      </c>
      <c r="C2386">
        <f>IF(B2386&gt;0, MAX($C$2:C2385)+1, "")</f>
        <v>2384</v>
      </c>
      <c r="D2386" t="str">
        <f t="shared" si="37"/>
        <v/>
      </c>
    </row>
    <row r="2387" spans="1:4">
      <c r="A2387" s="42" t="s">
        <v>2449</v>
      </c>
      <c r="B2387">
        <f>IFERROR(FIND('Simulador IR 2025'!$I$29, A2387), 0)</f>
        <v>1</v>
      </c>
      <c r="C2387">
        <f>IF(B2387&gt;0, MAX($C$2:C2386)+1, "")</f>
        <v>2385</v>
      </c>
      <c r="D2387" t="str">
        <f t="shared" si="37"/>
        <v/>
      </c>
    </row>
    <row r="2388" spans="1:4">
      <c r="A2388" s="42" t="s">
        <v>2450</v>
      </c>
      <c r="B2388">
        <f>IFERROR(FIND('Simulador IR 2025'!$I$29, A2388), 0)</f>
        <v>1</v>
      </c>
      <c r="C2388">
        <f>IF(B2388&gt;0, MAX($C$2:C2387)+1, "")</f>
        <v>2386</v>
      </c>
      <c r="D2388" t="str">
        <f t="shared" si="37"/>
        <v/>
      </c>
    </row>
    <row r="2389" spans="1:4">
      <c r="A2389" s="42" t="s">
        <v>2451</v>
      </c>
      <c r="B2389">
        <f>IFERROR(FIND('Simulador IR 2025'!$I$29, A2389), 0)</f>
        <v>1</v>
      </c>
      <c r="C2389">
        <f>IF(B2389&gt;0, MAX($C$2:C2388)+1, "")</f>
        <v>2387</v>
      </c>
      <c r="D2389" t="str">
        <f t="shared" si="37"/>
        <v/>
      </c>
    </row>
    <row r="2390" spans="1:4">
      <c r="A2390" s="42" t="s">
        <v>2452</v>
      </c>
      <c r="B2390">
        <f>IFERROR(FIND('Simulador IR 2025'!$I$29, A2390), 0)</f>
        <v>1</v>
      </c>
      <c r="C2390">
        <f>IF(B2390&gt;0, MAX($C$2:C2389)+1, "")</f>
        <v>2388</v>
      </c>
      <c r="D2390" t="str">
        <f t="shared" si="37"/>
        <v/>
      </c>
    </row>
    <row r="2391" spans="1:4">
      <c r="A2391" s="42" t="s">
        <v>2453</v>
      </c>
      <c r="B2391">
        <f>IFERROR(FIND('Simulador IR 2025'!$I$29, A2391), 0)</f>
        <v>1</v>
      </c>
      <c r="C2391">
        <f>IF(B2391&gt;0, MAX($C$2:C2390)+1, "")</f>
        <v>2389</v>
      </c>
      <c r="D2391" t="str">
        <f t="shared" si="37"/>
        <v/>
      </c>
    </row>
    <row r="2392" spans="1:4">
      <c r="A2392" s="42" t="s">
        <v>2454</v>
      </c>
      <c r="B2392">
        <f>IFERROR(FIND('Simulador IR 2025'!$I$29, A2392), 0)</f>
        <v>1</v>
      </c>
      <c r="C2392">
        <f>IF(B2392&gt;0, MAX($C$2:C2391)+1, "")</f>
        <v>2390</v>
      </c>
      <c r="D2392" t="str">
        <f t="shared" si="37"/>
        <v/>
      </c>
    </row>
    <row r="2393" spans="1:4">
      <c r="A2393" s="42" t="s">
        <v>2455</v>
      </c>
      <c r="B2393">
        <f>IFERROR(FIND('Simulador IR 2025'!$I$29, A2393), 0)</f>
        <v>1</v>
      </c>
      <c r="C2393">
        <f>IF(B2393&gt;0, MAX($C$2:C2392)+1, "")</f>
        <v>2391</v>
      </c>
      <c r="D2393" t="str">
        <f t="shared" si="37"/>
        <v/>
      </c>
    </row>
    <row r="2394" spans="1:4">
      <c r="A2394" s="42" t="s">
        <v>2456</v>
      </c>
      <c r="B2394">
        <f>IFERROR(FIND('Simulador IR 2025'!$I$29, A2394), 0)</f>
        <v>1</v>
      </c>
      <c r="C2394">
        <f>IF(B2394&gt;0, MAX($C$2:C2393)+1, "")</f>
        <v>2392</v>
      </c>
      <c r="D2394" t="str">
        <f t="shared" si="37"/>
        <v/>
      </c>
    </row>
    <row r="2395" spans="1:4">
      <c r="A2395" s="42" t="s">
        <v>2457</v>
      </c>
      <c r="B2395">
        <f>IFERROR(FIND('Simulador IR 2025'!$I$29, A2395), 0)</f>
        <v>1</v>
      </c>
      <c r="C2395">
        <f>IF(B2395&gt;0, MAX($C$2:C2394)+1, "")</f>
        <v>2393</v>
      </c>
      <c r="D2395" t="str">
        <f t="shared" si="37"/>
        <v/>
      </c>
    </row>
    <row r="2396" spans="1:4">
      <c r="A2396" s="42" t="s">
        <v>2458</v>
      </c>
      <c r="B2396">
        <f>IFERROR(FIND('Simulador IR 2025'!$I$29, A2396), 0)</f>
        <v>1</v>
      </c>
      <c r="C2396">
        <f>IF(B2396&gt;0, MAX($C$2:C2395)+1, "")</f>
        <v>2394</v>
      </c>
      <c r="D2396" t="str">
        <f t="shared" si="37"/>
        <v/>
      </c>
    </row>
    <row r="2397" spans="1:4">
      <c r="A2397" s="42" t="s">
        <v>2459</v>
      </c>
      <c r="B2397">
        <f>IFERROR(FIND('Simulador IR 2025'!$I$29, A2397), 0)</f>
        <v>1</v>
      </c>
      <c r="C2397">
        <f>IF(B2397&gt;0, MAX($C$2:C2396)+1, "")</f>
        <v>2395</v>
      </c>
      <c r="D2397" t="str">
        <f t="shared" si="37"/>
        <v/>
      </c>
    </row>
    <row r="2398" spans="1:4">
      <c r="A2398" s="42" t="s">
        <v>2460</v>
      </c>
      <c r="B2398">
        <f>IFERROR(FIND('Simulador IR 2025'!$I$29, A2398), 0)</f>
        <v>1</v>
      </c>
      <c r="C2398">
        <f>IF(B2398&gt;0, MAX($C$2:C2397)+1, "")</f>
        <v>2396</v>
      </c>
      <c r="D2398" t="str">
        <f t="shared" si="37"/>
        <v/>
      </c>
    </row>
    <row r="2399" spans="1:4">
      <c r="A2399" s="42" t="s">
        <v>2461</v>
      </c>
      <c r="B2399">
        <f>IFERROR(FIND('Simulador IR 2025'!$I$29, A2399), 0)</f>
        <v>1</v>
      </c>
      <c r="C2399">
        <f>IF(B2399&gt;0, MAX($C$2:C2398)+1, "")</f>
        <v>2397</v>
      </c>
      <c r="D2399" t="str">
        <f t="shared" si="37"/>
        <v/>
      </c>
    </row>
    <row r="2400" spans="1:4">
      <c r="A2400" s="42" t="s">
        <v>2462</v>
      </c>
      <c r="B2400">
        <f>IFERROR(FIND('Simulador IR 2025'!$I$29, A2400), 0)</f>
        <v>1</v>
      </c>
      <c r="C2400">
        <f>IF(B2400&gt;0, MAX($C$2:C2399)+1, "")</f>
        <v>2398</v>
      </c>
      <c r="D2400" t="str">
        <f t="shared" si="37"/>
        <v/>
      </c>
    </row>
    <row r="2401" spans="1:4">
      <c r="A2401" s="42" t="s">
        <v>2463</v>
      </c>
      <c r="B2401">
        <f>IFERROR(FIND('Simulador IR 2025'!$I$29, A2401), 0)</f>
        <v>1</v>
      </c>
      <c r="C2401">
        <f>IF(B2401&gt;0, MAX($C$2:C2400)+1, "")</f>
        <v>2399</v>
      </c>
      <c r="D2401" t="str">
        <f t="shared" si="37"/>
        <v/>
      </c>
    </row>
    <row r="2402" spans="1:4">
      <c r="A2402" s="42" t="s">
        <v>2464</v>
      </c>
      <c r="B2402">
        <f>IFERROR(FIND('Simulador IR 2025'!$I$29, A2402), 0)</f>
        <v>1</v>
      </c>
      <c r="C2402">
        <f>IF(B2402&gt;0, MAX($C$2:C2401)+1, "")</f>
        <v>2400</v>
      </c>
      <c r="D2402" t="str">
        <f t="shared" si="37"/>
        <v/>
      </c>
    </row>
    <row r="2403" spans="1:4">
      <c r="A2403" s="42" t="s">
        <v>2465</v>
      </c>
      <c r="B2403">
        <f>IFERROR(FIND('Simulador IR 2025'!$I$29, A2403), 0)</f>
        <v>1</v>
      </c>
      <c r="C2403">
        <f>IF(B2403&gt;0, MAX($C$2:C2402)+1, "")</f>
        <v>2401</v>
      </c>
      <c r="D2403" t="str">
        <f t="shared" si="37"/>
        <v/>
      </c>
    </row>
    <row r="2404" spans="1:4">
      <c r="A2404" s="42" t="s">
        <v>2466</v>
      </c>
      <c r="B2404">
        <f>IFERROR(FIND('Simulador IR 2025'!$I$29, A2404), 0)</f>
        <v>1</v>
      </c>
      <c r="C2404">
        <f>IF(B2404&gt;0, MAX($C$2:C2403)+1, "")</f>
        <v>2402</v>
      </c>
      <c r="D2404" t="str">
        <f t="shared" si="37"/>
        <v/>
      </c>
    </row>
    <row r="2405" spans="1:4">
      <c r="A2405" s="42" t="s">
        <v>2467</v>
      </c>
      <c r="B2405">
        <f>IFERROR(FIND('Simulador IR 2025'!$I$29, A2405), 0)</f>
        <v>1</v>
      </c>
      <c r="C2405">
        <f>IF(B2405&gt;0, MAX($C$2:C2404)+1, "")</f>
        <v>2403</v>
      </c>
      <c r="D2405" t="str">
        <f t="shared" si="37"/>
        <v/>
      </c>
    </row>
    <row r="2406" spans="1:4">
      <c r="A2406" s="42" t="s">
        <v>2468</v>
      </c>
      <c r="B2406">
        <f>IFERROR(FIND('Simulador IR 2025'!$I$29, A2406), 0)</f>
        <v>1</v>
      </c>
      <c r="C2406">
        <f>IF(B2406&gt;0, MAX($C$2:C2405)+1, "")</f>
        <v>2404</v>
      </c>
      <c r="D2406" t="str">
        <f t="shared" si="37"/>
        <v/>
      </c>
    </row>
    <row r="2407" spans="1:4">
      <c r="A2407" s="42" t="s">
        <v>2469</v>
      </c>
      <c r="B2407">
        <f>IFERROR(FIND('Simulador IR 2025'!$I$29, A2407), 0)</f>
        <v>1</v>
      </c>
      <c r="C2407">
        <f>IF(B2407&gt;0, MAX($C$2:C2406)+1, "")</f>
        <v>2405</v>
      </c>
      <c r="D2407" t="str">
        <f t="shared" si="37"/>
        <v/>
      </c>
    </row>
    <row r="2408" spans="1:4">
      <c r="A2408" s="42" t="s">
        <v>2470</v>
      </c>
      <c r="B2408">
        <f>IFERROR(FIND('Simulador IR 2025'!$I$29, A2408), 0)</f>
        <v>1</v>
      </c>
      <c r="C2408">
        <f>IF(B2408&gt;0, MAX($C$2:C2407)+1, "")</f>
        <v>2406</v>
      </c>
      <c r="D2408" t="str">
        <f t="shared" si="37"/>
        <v/>
      </c>
    </row>
    <row r="2409" spans="1:4">
      <c r="A2409" s="42" t="s">
        <v>2471</v>
      </c>
      <c r="B2409">
        <f>IFERROR(FIND('Simulador IR 2025'!$I$29, A2409), 0)</f>
        <v>1</v>
      </c>
      <c r="C2409">
        <f>IF(B2409&gt;0, MAX($C$2:C2408)+1, "")</f>
        <v>2407</v>
      </c>
      <c r="D2409" t="str">
        <f t="shared" si="37"/>
        <v/>
      </c>
    </row>
    <row r="2410" spans="1:4">
      <c r="A2410" s="42" t="s">
        <v>2472</v>
      </c>
      <c r="B2410">
        <f>IFERROR(FIND('Simulador IR 2025'!$I$29, A2410), 0)</f>
        <v>1</v>
      </c>
      <c r="C2410">
        <f>IF(B2410&gt;0, MAX($C$2:C2409)+1, "")</f>
        <v>2408</v>
      </c>
      <c r="D2410" t="str">
        <f t="shared" si="37"/>
        <v/>
      </c>
    </row>
    <row r="2411" spans="1:4">
      <c r="A2411" s="42" t="s">
        <v>2473</v>
      </c>
      <c r="B2411">
        <f>IFERROR(FIND('Simulador IR 2025'!$I$29, A2411), 0)</f>
        <v>1</v>
      </c>
      <c r="C2411">
        <f>IF(B2411&gt;0, MAX($C$2:C2410)+1, "")</f>
        <v>2409</v>
      </c>
      <c r="D2411" t="str">
        <f t="shared" si="37"/>
        <v/>
      </c>
    </row>
    <row r="2412" spans="1:4">
      <c r="A2412" s="42" t="s">
        <v>2474</v>
      </c>
      <c r="B2412">
        <f>IFERROR(FIND('Simulador IR 2025'!$I$29, A2412), 0)</f>
        <v>1</v>
      </c>
      <c r="C2412">
        <f>IF(B2412&gt;0, MAX($C$2:C2411)+1, "")</f>
        <v>2410</v>
      </c>
      <c r="D2412" t="str">
        <f t="shared" si="37"/>
        <v/>
      </c>
    </row>
    <row r="2413" spans="1:4">
      <c r="A2413" s="42" t="s">
        <v>2475</v>
      </c>
      <c r="B2413">
        <f>IFERROR(FIND('Simulador IR 2025'!$I$29, A2413), 0)</f>
        <v>1</v>
      </c>
      <c r="C2413">
        <f>IF(B2413&gt;0, MAX($C$2:C2412)+1, "")</f>
        <v>2411</v>
      </c>
      <c r="D2413" t="str">
        <f t="shared" si="37"/>
        <v/>
      </c>
    </row>
    <row r="2414" spans="1:4">
      <c r="A2414" s="42" t="s">
        <v>2476</v>
      </c>
      <c r="B2414">
        <f>IFERROR(FIND('Simulador IR 2025'!$I$29, A2414), 0)</f>
        <v>1</v>
      </c>
      <c r="C2414">
        <f>IF(B2414&gt;0, MAX($C$2:C2413)+1, "")</f>
        <v>2412</v>
      </c>
      <c r="D2414" t="str">
        <f t="shared" si="37"/>
        <v/>
      </c>
    </row>
    <row r="2415" spans="1:4">
      <c r="A2415" s="42" t="s">
        <v>2477</v>
      </c>
      <c r="B2415">
        <f>IFERROR(FIND('Simulador IR 2025'!$I$29, A2415), 0)</f>
        <v>1</v>
      </c>
      <c r="C2415">
        <f>IF(B2415&gt;0, MAX($C$2:C2414)+1, "")</f>
        <v>2413</v>
      </c>
      <c r="D2415" t="str">
        <f t="shared" si="37"/>
        <v/>
      </c>
    </row>
    <row r="2416" spans="1:4">
      <c r="A2416" s="42" t="s">
        <v>2478</v>
      </c>
      <c r="B2416">
        <f>IFERROR(FIND('Simulador IR 2025'!$I$29, A2416), 0)</f>
        <v>1</v>
      </c>
      <c r="C2416">
        <f>IF(B2416&gt;0, MAX($C$2:C2415)+1, "")</f>
        <v>2414</v>
      </c>
      <c r="D2416" t="str">
        <f t="shared" si="37"/>
        <v/>
      </c>
    </row>
    <row r="2417" spans="1:4">
      <c r="A2417" s="42" t="s">
        <v>2479</v>
      </c>
      <c r="B2417">
        <f>IFERROR(FIND('Simulador IR 2025'!$I$29, A2417), 0)</f>
        <v>1</v>
      </c>
      <c r="C2417">
        <f>IF(B2417&gt;0, MAX($C$2:C2416)+1, "")</f>
        <v>2415</v>
      </c>
      <c r="D2417" t="str">
        <f t="shared" si="37"/>
        <v/>
      </c>
    </row>
    <row r="2418" spans="1:4">
      <c r="A2418" s="42" t="s">
        <v>2480</v>
      </c>
      <c r="B2418">
        <f>IFERROR(FIND('Simulador IR 2025'!$I$29, A2418), 0)</f>
        <v>1</v>
      </c>
      <c r="C2418">
        <f>IF(B2418&gt;0, MAX($C$2:C2417)+1, "")</f>
        <v>2416</v>
      </c>
      <c r="D2418" t="str">
        <f t="shared" si="37"/>
        <v/>
      </c>
    </row>
    <row r="2419" spans="1:4">
      <c r="A2419" s="42" t="s">
        <v>2481</v>
      </c>
      <c r="B2419">
        <f>IFERROR(FIND('Simulador IR 2025'!$I$29, A2419), 0)</f>
        <v>1</v>
      </c>
      <c r="C2419">
        <f>IF(B2419&gt;0, MAX($C$2:C2418)+1, "")</f>
        <v>2417</v>
      </c>
      <c r="D2419" t="str">
        <f t="shared" si="37"/>
        <v/>
      </c>
    </row>
    <row r="2420" spans="1:4">
      <c r="A2420" s="42" t="s">
        <v>2482</v>
      </c>
      <c r="B2420">
        <f>IFERROR(FIND('Simulador IR 2025'!$I$29, A2420), 0)</f>
        <v>1</v>
      </c>
      <c r="C2420">
        <f>IF(B2420&gt;0, MAX($C$2:C2419)+1, "")</f>
        <v>2418</v>
      </c>
      <c r="D2420" t="str">
        <f t="shared" si="37"/>
        <v/>
      </c>
    </row>
    <row r="2421" spans="1:4">
      <c r="A2421" s="42" t="s">
        <v>2483</v>
      </c>
      <c r="B2421">
        <f>IFERROR(FIND('Simulador IR 2025'!$I$29, A2421), 0)</f>
        <v>1</v>
      </c>
      <c r="C2421">
        <f>IF(B2421&gt;0, MAX($C$2:C2420)+1, "")</f>
        <v>2419</v>
      </c>
      <c r="D2421" t="str">
        <f t="shared" si="37"/>
        <v/>
      </c>
    </row>
    <row r="2422" spans="1:4">
      <c r="A2422" s="42" t="s">
        <v>2484</v>
      </c>
      <c r="B2422">
        <f>IFERROR(FIND('Simulador IR 2025'!$I$29, A2422), 0)</f>
        <v>1</v>
      </c>
      <c r="C2422">
        <f>IF(B2422&gt;0, MAX($C$2:C2421)+1, "")</f>
        <v>2420</v>
      </c>
      <c r="D2422" t="str">
        <f t="shared" si="37"/>
        <v/>
      </c>
    </row>
    <row r="2423" spans="1:4">
      <c r="A2423" s="42" t="s">
        <v>2485</v>
      </c>
      <c r="B2423">
        <f>IFERROR(FIND('Simulador IR 2025'!$I$29, A2423), 0)</f>
        <v>1</v>
      </c>
      <c r="C2423">
        <f>IF(B2423&gt;0, MAX($C$2:C2422)+1, "")</f>
        <v>2421</v>
      </c>
      <c r="D2423" t="str">
        <f t="shared" si="37"/>
        <v/>
      </c>
    </row>
    <row r="2424" spans="1:4">
      <c r="A2424" s="42" t="s">
        <v>2486</v>
      </c>
      <c r="B2424">
        <f>IFERROR(FIND('Simulador IR 2025'!$I$29, A2424), 0)</f>
        <v>1</v>
      </c>
      <c r="C2424">
        <f>IF(B2424&gt;0, MAX($C$2:C2423)+1, "")</f>
        <v>2422</v>
      </c>
      <c r="D2424" t="str">
        <f t="shared" si="37"/>
        <v/>
      </c>
    </row>
    <row r="2425" spans="1:4">
      <c r="A2425" s="42" t="s">
        <v>2487</v>
      </c>
      <c r="B2425">
        <f>IFERROR(FIND('Simulador IR 2025'!$I$29, A2425), 0)</f>
        <v>1</v>
      </c>
      <c r="C2425">
        <f>IF(B2425&gt;0, MAX($C$2:C2424)+1, "")</f>
        <v>2423</v>
      </c>
      <c r="D2425" t="str">
        <f t="shared" si="37"/>
        <v/>
      </c>
    </row>
    <row r="2426" spans="1:4">
      <c r="A2426" s="42" t="s">
        <v>2488</v>
      </c>
      <c r="B2426">
        <f>IFERROR(FIND('Simulador IR 2025'!$I$29, A2426), 0)</f>
        <v>1</v>
      </c>
      <c r="C2426">
        <f>IF(B2426&gt;0, MAX($C$2:C2425)+1, "")</f>
        <v>2424</v>
      </c>
      <c r="D2426" t="str">
        <f t="shared" si="37"/>
        <v/>
      </c>
    </row>
    <row r="2427" spans="1:4">
      <c r="A2427" s="42" t="s">
        <v>2489</v>
      </c>
      <c r="B2427">
        <f>IFERROR(FIND('Simulador IR 2025'!$I$29, A2427), 0)</f>
        <v>1</v>
      </c>
      <c r="C2427">
        <f>IF(B2427&gt;0, MAX($C$2:C2426)+1, "")</f>
        <v>2425</v>
      </c>
      <c r="D2427" t="str">
        <f t="shared" si="37"/>
        <v/>
      </c>
    </row>
    <row r="2428" spans="1:4">
      <c r="A2428" s="42" t="s">
        <v>2490</v>
      </c>
      <c r="B2428">
        <f>IFERROR(FIND('Simulador IR 2025'!$I$29, A2428), 0)</f>
        <v>1</v>
      </c>
      <c r="C2428">
        <f>IF(B2428&gt;0, MAX($C$2:C2427)+1, "")</f>
        <v>2426</v>
      </c>
      <c r="D2428" t="str">
        <f t="shared" si="37"/>
        <v/>
      </c>
    </row>
    <row r="2429" spans="1:4">
      <c r="A2429" s="42" t="s">
        <v>2491</v>
      </c>
      <c r="B2429">
        <f>IFERROR(FIND('Simulador IR 2025'!$I$29, A2429), 0)</f>
        <v>1</v>
      </c>
      <c r="C2429">
        <f>IF(B2429&gt;0, MAX($C$2:C2428)+1, "")</f>
        <v>2427</v>
      </c>
      <c r="D2429" t="str">
        <f t="shared" si="37"/>
        <v/>
      </c>
    </row>
    <row r="2430" spans="1:4">
      <c r="A2430" s="42" t="s">
        <v>2492</v>
      </c>
      <c r="B2430">
        <f>IFERROR(FIND('Simulador IR 2025'!$I$29, A2430), 0)</f>
        <v>1</v>
      </c>
      <c r="C2430">
        <f>IF(B2430&gt;0, MAX($C$2:C2429)+1, "")</f>
        <v>2428</v>
      </c>
      <c r="D2430" t="str">
        <f t="shared" si="37"/>
        <v/>
      </c>
    </row>
    <row r="2431" spans="1:4">
      <c r="A2431" s="42" t="s">
        <v>2493</v>
      </c>
      <c r="B2431">
        <f>IFERROR(FIND('Simulador IR 2025'!$I$29, A2431), 0)</f>
        <v>1</v>
      </c>
      <c r="C2431">
        <f>IF(B2431&gt;0, MAX($C$2:C2430)+1, "")</f>
        <v>2429</v>
      </c>
      <c r="D2431" t="str">
        <f t="shared" si="37"/>
        <v/>
      </c>
    </row>
    <row r="2432" spans="1:4">
      <c r="A2432" s="42" t="s">
        <v>2494</v>
      </c>
      <c r="B2432">
        <f>IFERROR(FIND('Simulador IR 2025'!$I$29, A2432), 0)</f>
        <v>1</v>
      </c>
      <c r="C2432">
        <f>IF(B2432&gt;0, MAX($C$2:C2431)+1, "")</f>
        <v>2430</v>
      </c>
      <c r="D2432" t="str">
        <f t="shared" si="37"/>
        <v/>
      </c>
    </row>
    <row r="2433" spans="1:4">
      <c r="A2433" s="42" t="s">
        <v>2495</v>
      </c>
      <c r="B2433">
        <f>IFERROR(FIND('Simulador IR 2025'!$I$29, A2433), 0)</f>
        <v>1</v>
      </c>
      <c r="C2433">
        <f>IF(B2433&gt;0, MAX($C$2:C2432)+1, "")</f>
        <v>2431</v>
      </c>
      <c r="D2433" t="str">
        <f t="shared" si="37"/>
        <v/>
      </c>
    </row>
    <row r="2434" spans="1:4">
      <c r="A2434" s="42" t="s">
        <v>2496</v>
      </c>
      <c r="B2434">
        <f>IFERROR(FIND('Simulador IR 2025'!$I$29, A2434), 0)</f>
        <v>1</v>
      </c>
      <c r="C2434">
        <f>IF(B2434&gt;0, MAX($C$2:C2433)+1, "")</f>
        <v>2432</v>
      </c>
      <c r="D2434" t="str">
        <f t="shared" si="37"/>
        <v/>
      </c>
    </row>
    <row r="2435" spans="1:4">
      <c r="A2435" s="42" t="s">
        <v>2497</v>
      </c>
      <c r="B2435">
        <f>IFERROR(FIND('Simulador IR 2025'!$I$29, A2435), 0)</f>
        <v>1</v>
      </c>
      <c r="C2435">
        <f>IF(B2435&gt;0, MAX($C$2:C2434)+1, "")</f>
        <v>2433</v>
      </c>
      <c r="D2435" t="str">
        <f t="shared" si="37"/>
        <v/>
      </c>
    </row>
    <row r="2436" spans="1:4">
      <c r="A2436" s="42" t="s">
        <v>2498</v>
      </c>
      <c r="B2436">
        <f>IFERROR(FIND('Simulador IR 2025'!$I$29, A2436), 0)</f>
        <v>1</v>
      </c>
      <c r="C2436">
        <f>IF(B2436&gt;0, MAX($C$2:C2435)+1, "")</f>
        <v>2434</v>
      </c>
      <c r="D2436" t="str">
        <f t="shared" ref="D2436:D2499" si="38">IFERROR(VLOOKUP(ROW(A2434), $A$3:$C$2681, -2, FALSE), "")</f>
        <v/>
      </c>
    </row>
    <row r="2437" spans="1:4">
      <c r="A2437" s="42" t="s">
        <v>2499</v>
      </c>
      <c r="B2437">
        <f>IFERROR(FIND('Simulador IR 2025'!$I$29, A2437), 0)</f>
        <v>1</v>
      </c>
      <c r="C2437">
        <f>IF(B2437&gt;0, MAX($C$2:C2436)+1, "")</f>
        <v>2435</v>
      </c>
      <c r="D2437" t="str">
        <f t="shared" si="38"/>
        <v/>
      </c>
    </row>
    <row r="2438" spans="1:4">
      <c r="A2438" s="42" t="s">
        <v>2500</v>
      </c>
      <c r="B2438">
        <f>IFERROR(FIND('Simulador IR 2025'!$I$29, A2438), 0)</f>
        <v>1</v>
      </c>
      <c r="C2438">
        <f>IF(B2438&gt;0, MAX($C$2:C2437)+1, "")</f>
        <v>2436</v>
      </c>
      <c r="D2438" t="str">
        <f t="shared" si="38"/>
        <v/>
      </c>
    </row>
    <row r="2439" spans="1:4">
      <c r="A2439" s="42" t="s">
        <v>2501</v>
      </c>
      <c r="B2439">
        <f>IFERROR(FIND('Simulador IR 2025'!$I$29, A2439), 0)</f>
        <v>1</v>
      </c>
      <c r="C2439">
        <f>IF(B2439&gt;0, MAX($C$2:C2438)+1, "")</f>
        <v>2437</v>
      </c>
      <c r="D2439" t="str">
        <f t="shared" si="38"/>
        <v/>
      </c>
    </row>
    <row r="2440" spans="1:4">
      <c r="A2440" s="42" t="s">
        <v>2502</v>
      </c>
      <c r="B2440">
        <f>IFERROR(FIND('Simulador IR 2025'!$I$29, A2440), 0)</f>
        <v>1</v>
      </c>
      <c r="C2440">
        <f>IF(B2440&gt;0, MAX($C$2:C2439)+1, "")</f>
        <v>2438</v>
      </c>
      <c r="D2440" t="str">
        <f t="shared" si="38"/>
        <v/>
      </c>
    </row>
    <row r="2441" spans="1:4">
      <c r="A2441" s="42" t="s">
        <v>2503</v>
      </c>
      <c r="B2441">
        <f>IFERROR(FIND('Simulador IR 2025'!$I$29, A2441), 0)</f>
        <v>1</v>
      </c>
      <c r="C2441">
        <f>IF(B2441&gt;0, MAX($C$2:C2440)+1, "")</f>
        <v>2439</v>
      </c>
      <c r="D2441" t="str">
        <f t="shared" si="38"/>
        <v/>
      </c>
    </row>
    <row r="2442" spans="1:4">
      <c r="A2442" s="42" t="s">
        <v>2504</v>
      </c>
      <c r="B2442">
        <f>IFERROR(FIND('Simulador IR 2025'!$I$29, A2442), 0)</f>
        <v>1</v>
      </c>
      <c r="C2442">
        <f>IF(B2442&gt;0, MAX($C$2:C2441)+1, "")</f>
        <v>2440</v>
      </c>
      <c r="D2442" t="str">
        <f t="shared" si="38"/>
        <v/>
      </c>
    </row>
    <row r="2443" spans="1:4">
      <c r="A2443" s="42" t="s">
        <v>2505</v>
      </c>
      <c r="B2443">
        <f>IFERROR(FIND('Simulador IR 2025'!$I$29, A2443), 0)</f>
        <v>1</v>
      </c>
      <c r="C2443">
        <f>IF(B2443&gt;0, MAX($C$2:C2442)+1, "")</f>
        <v>2441</v>
      </c>
      <c r="D2443" t="str">
        <f t="shared" si="38"/>
        <v/>
      </c>
    </row>
    <row r="2444" spans="1:4">
      <c r="A2444" s="42" t="s">
        <v>2506</v>
      </c>
      <c r="B2444">
        <f>IFERROR(FIND('Simulador IR 2025'!$I$29, A2444), 0)</f>
        <v>1</v>
      </c>
      <c r="C2444">
        <f>IF(B2444&gt;0, MAX($C$2:C2443)+1, "")</f>
        <v>2442</v>
      </c>
      <c r="D2444" t="str">
        <f t="shared" si="38"/>
        <v/>
      </c>
    </row>
    <row r="2445" spans="1:4">
      <c r="A2445" s="42" t="s">
        <v>2507</v>
      </c>
      <c r="B2445">
        <f>IFERROR(FIND('Simulador IR 2025'!$I$29, A2445), 0)</f>
        <v>1</v>
      </c>
      <c r="C2445">
        <f>IF(B2445&gt;0, MAX($C$2:C2444)+1, "")</f>
        <v>2443</v>
      </c>
      <c r="D2445" t="str">
        <f t="shared" si="38"/>
        <v/>
      </c>
    </row>
    <row r="2446" spans="1:4">
      <c r="A2446" s="42" t="s">
        <v>2508</v>
      </c>
      <c r="B2446">
        <f>IFERROR(FIND('Simulador IR 2025'!$I$29, A2446), 0)</f>
        <v>1</v>
      </c>
      <c r="C2446">
        <f>IF(B2446&gt;0, MAX($C$2:C2445)+1, "")</f>
        <v>2444</v>
      </c>
      <c r="D2446" t="str">
        <f t="shared" si="38"/>
        <v/>
      </c>
    </row>
    <row r="2447" spans="1:4">
      <c r="A2447" s="42" t="s">
        <v>2509</v>
      </c>
      <c r="B2447">
        <f>IFERROR(FIND('Simulador IR 2025'!$I$29, A2447), 0)</f>
        <v>1</v>
      </c>
      <c r="C2447">
        <f>IF(B2447&gt;0, MAX($C$2:C2446)+1, "")</f>
        <v>2445</v>
      </c>
      <c r="D2447" t="str">
        <f t="shared" si="38"/>
        <v/>
      </c>
    </row>
    <row r="2448" spans="1:4">
      <c r="A2448" s="42" t="s">
        <v>2510</v>
      </c>
      <c r="B2448">
        <f>IFERROR(FIND('Simulador IR 2025'!$I$29, A2448), 0)</f>
        <v>1</v>
      </c>
      <c r="C2448">
        <f>IF(B2448&gt;0, MAX($C$2:C2447)+1, "")</f>
        <v>2446</v>
      </c>
      <c r="D2448" t="str">
        <f t="shared" si="38"/>
        <v/>
      </c>
    </row>
    <row r="2449" spans="1:4">
      <c r="A2449" s="42" t="s">
        <v>2511</v>
      </c>
      <c r="B2449">
        <f>IFERROR(FIND('Simulador IR 2025'!$I$29, A2449), 0)</f>
        <v>1</v>
      </c>
      <c r="C2449">
        <f>IF(B2449&gt;0, MAX($C$2:C2448)+1, "")</f>
        <v>2447</v>
      </c>
      <c r="D2449" t="str">
        <f t="shared" si="38"/>
        <v/>
      </c>
    </row>
    <row r="2450" spans="1:4">
      <c r="A2450" s="42" t="s">
        <v>2512</v>
      </c>
      <c r="B2450">
        <f>IFERROR(FIND('Simulador IR 2025'!$I$29, A2450), 0)</f>
        <v>1</v>
      </c>
      <c r="C2450">
        <f>IF(B2450&gt;0, MAX($C$2:C2449)+1, "")</f>
        <v>2448</v>
      </c>
      <c r="D2450" t="str">
        <f t="shared" si="38"/>
        <v/>
      </c>
    </row>
    <row r="2451" spans="1:4">
      <c r="A2451" s="42" t="s">
        <v>2513</v>
      </c>
      <c r="B2451">
        <f>IFERROR(FIND('Simulador IR 2025'!$I$29, A2451), 0)</f>
        <v>1</v>
      </c>
      <c r="C2451">
        <f>IF(B2451&gt;0, MAX($C$2:C2450)+1, "")</f>
        <v>2449</v>
      </c>
      <c r="D2451" t="str">
        <f t="shared" si="38"/>
        <v/>
      </c>
    </row>
    <row r="2452" spans="1:4">
      <c r="A2452" s="42" t="s">
        <v>2514</v>
      </c>
      <c r="B2452">
        <f>IFERROR(FIND('Simulador IR 2025'!$I$29, A2452), 0)</f>
        <v>1</v>
      </c>
      <c r="C2452">
        <f>IF(B2452&gt;0, MAX($C$2:C2451)+1, "")</f>
        <v>2450</v>
      </c>
      <c r="D2452" t="str">
        <f t="shared" si="38"/>
        <v/>
      </c>
    </row>
    <row r="2453" spans="1:4">
      <c r="A2453" s="42" t="s">
        <v>2515</v>
      </c>
      <c r="B2453">
        <f>IFERROR(FIND('Simulador IR 2025'!$I$29, A2453), 0)</f>
        <v>1</v>
      </c>
      <c r="C2453">
        <f>IF(B2453&gt;0, MAX($C$2:C2452)+1, "")</f>
        <v>2451</v>
      </c>
      <c r="D2453" t="str">
        <f t="shared" si="38"/>
        <v/>
      </c>
    </row>
    <row r="2454" spans="1:4">
      <c r="A2454" s="42" t="s">
        <v>2516</v>
      </c>
      <c r="B2454">
        <f>IFERROR(FIND('Simulador IR 2025'!$I$29, A2454), 0)</f>
        <v>1</v>
      </c>
      <c r="C2454">
        <f>IF(B2454&gt;0, MAX($C$2:C2453)+1, "")</f>
        <v>2452</v>
      </c>
      <c r="D2454" t="str">
        <f t="shared" si="38"/>
        <v/>
      </c>
    </row>
    <row r="2455" spans="1:4">
      <c r="A2455" s="42" t="s">
        <v>2517</v>
      </c>
      <c r="B2455">
        <f>IFERROR(FIND('Simulador IR 2025'!$I$29, A2455), 0)</f>
        <v>1</v>
      </c>
      <c r="C2455">
        <f>IF(B2455&gt;0, MAX($C$2:C2454)+1, "")</f>
        <v>2453</v>
      </c>
      <c r="D2455" t="str">
        <f t="shared" si="38"/>
        <v/>
      </c>
    </row>
    <row r="2456" spans="1:4">
      <c r="A2456" s="42" t="s">
        <v>2518</v>
      </c>
      <c r="B2456">
        <f>IFERROR(FIND('Simulador IR 2025'!$I$29, A2456), 0)</f>
        <v>1</v>
      </c>
      <c r="C2456">
        <f>IF(B2456&gt;0, MAX($C$2:C2455)+1, "")</f>
        <v>2454</v>
      </c>
      <c r="D2456" t="str">
        <f t="shared" si="38"/>
        <v/>
      </c>
    </row>
    <row r="2457" spans="1:4">
      <c r="A2457" s="42" t="s">
        <v>2519</v>
      </c>
      <c r="B2457">
        <f>IFERROR(FIND('Simulador IR 2025'!$I$29, A2457), 0)</f>
        <v>1</v>
      </c>
      <c r="C2457">
        <f>IF(B2457&gt;0, MAX($C$2:C2456)+1, "")</f>
        <v>2455</v>
      </c>
      <c r="D2457" t="str">
        <f t="shared" si="38"/>
        <v/>
      </c>
    </row>
    <row r="2458" spans="1:4">
      <c r="A2458" s="42" t="s">
        <v>2520</v>
      </c>
      <c r="B2458">
        <f>IFERROR(FIND('Simulador IR 2025'!$I$29, A2458), 0)</f>
        <v>1</v>
      </c>
      <c r="C2458">
        <f>IF(B2458&gt;0, MAX($C$2:C2457)+1, "")</f>
        <v>2456</v>
      </c>
      <c r="D2458" t="str">
        <f t="shared" si="38"/>
        <v/>
      </c>
    </row>
    <row r="2459" spans="1:4">
      <c r="A2459" s="42" t="s">
        <v>2521</v>
      </c>
      <c r="B2459">
        <f>IFERROR(FIND('Simulador IR 2025'!$I$29, A2459), 0)</f>
        <v>1</v>
      </c>
      <c r="C2459">
        <f>IF(B2459&gt;0, MAX($C$2:C2458)+1, "")</f>
        <v>2457</v>
      </c>
      <c r="D2459" t="str">
        <f t="shared" si="38"/>
        <v/>
      </c>
    </row>
    <row r="2460" spans="1:4">
      <c r="A2460" s="42" t="s">
        <v>2522</v>
      </c>
      <c r="B2460">
        <f>IFERROR(FIND('Simulador IR 2025'!$I$29, A2460), 0)</f>
        <v>1</v>
      </c>
      <c r="C2460">
        <f>IF(B2460&gt;0, MAX($C$2:C2459)+1, "")</f>
        <v>2458</v>
      </c>
      <c r="D2460" t="str">
        <f t="shared" si="38"/>
        <v/>
      </c>
    </row>
    <row r="2461" spans="1:4">
      <c r="A2461" s="42" t="s">
        <v>2523</v>
      </c>
      <c r="B2461">
        <f>IFERROR(FIND('Simulador IR 2025'!$I$29, A2461), 0)</f>
        <v>1</v>
      </c>
      <c r="C2461">
        <f>IF(B2461&gt;0, MAX($C$2:C2460)+1, "")</f>
        <v>2459</v>
      </c>
      <c r="D2461" t="str">
        <f t="shared" si="38"/>
        <v/>
      </c>
    </row>
    <row r="2462" spans="1:4">
      <c r="A2462" s="42" t="s">
        <v>2524</v>
      </c>
      <c r="B2462">
        <f>IFERROR(FIND('Simulador IR 2025'!$I$29, A2462), 0)</f>
        <v>1</v>
      </c>
      <c r="C2462">
        <f>IF(B2462&gt;0, MAX($C$2:C2461)+1, "")</f>
        <v>2460</v>
      </c>
      <c r="D2462" t="str">
        <f t="shared" si="38"/>
        <v/>
      </c>
    </row>
    <row r="2463" spans="1:4">
      <c r="A2463" s="42" t="s">
        <v>2525</v>
      </c>
      <c r="B2463">
        <f>IFERROR(FIND('Simulador IR 2025'!$I$29, A2463), 0)</f>
        <v>1</v>
      </c>
      <c r="C2463">
        <f>IF(B2463&gt;0, MAX($C$2:C2462)+1, "")</f>
        <v>2461</v>
      </c>
      <c r="D2463" t="str">
        <f t="shared" si="38"/>
        <v/>
      </c>
    </row>
    <row r="2464" spans="1:4">
      <c r="A2464" s="42" t="s">
        <v>2526</v>
      </c>
      <c r="B2464">
        <f>IFERROR(FIND('Simulador IR 2025'!$I$29, A2464), 0)</f>
        <v>1</v>
      </c>
      <c r="C2464">
        <f>IF(B2464&gt;0, MAX($C$2:C2463)+1, "")</f>
        <v>2462</v>
      </c>
      <c r="D2464" t="str">
        <f t="shared" si="38"/>
        <v/>
      </c>
    </row>
    <row r="2465" spans="1:4">
      <c r="A2465" s="42" t="s">
        <v>2527</v>
      </c>
      <c r="B2465">
        <f>IFERROR(FIND('Simulador IR 2025'!$I$29, A2465), 0)</f>
        <v>1</v>
      </c>
      <c r="C2465">
        <f>IF(B2465&gt;0, MAX($C$2:C2464)+1, "")</f>
        <v>2463</v>
      </c>
      <c r="D2465" t="str">
        <f t="shared" si="38"/>
        <v/>
      </c>
    </row>
    <row r="2466" spans="1:4">
      <c r="A2466" s="42" t="s">
        <v>2528</v>
      </c>
      <c r="B2466">
        <f>IFERROR(FIND('Simulador IR 2025'!$I$29, A2466), 0)</f>
        <v>1</v>
      </c>
      <c r="C2466">
        <f>IF(B2466&gt;0, MAX($C$2:C2465)+1, "")</f>
        <v>2464</v>
      </c>
      <c r="D2466" t="str">
        <f t="shared" si="38"/>
        <v/>
      </c>
    </row>
    <row r="2467" spans="1:4">
      <c r="A2467" s="42" t="s">
        <v>2529</v>
      </c>
      <c r="B2467">
        <f>IFERROR(FIND('Simulador IR 2025'!$I$29, A2467), 0)</f>
        <v>1</v>
      </c>
      <c r="C2467">
        <f>IF(B2467&gt;0, MAX($C$2:C2466)+1, "")</f>
        <v>2465</v>
      </c>
      <c r="D2467" t="str">
        <f t="shared" si="38"/>
        <v/>
      </c>
    </row>
    <row r="2468" spans="1:4">
      <c r="A2468" s="42" t="s">
        <v>2530</v>
      </c>
      <c r="B2468">
        <f>IFERROR(FIND('Simulador IR 2025'!$I$29, A2468), 0)</f>
        <v>1</v>
      </c>
      <c r="C2468">
        <f>IF(B2468&gt;0, MAX($C$2:C2467)+1, "")</f>
        <v>2466</v>
      </c>
      <c r="D2468" t="str">
        <f t="shared" si="38"/>
        <v/>
      </c>
    </row>
    <row r="2469" spans="1:4">
      <c r="A2469" s="42" t="s">
        <v>2531</v>
      </c>
      <c r="B2469">
        <f>IFERROR(FIND('Simulador IR 2025'!$I$29, A2469), 0)</f>
        <v>1</v>
      </c>
      <c r="C2469">
        <f>IF(B2469&gt;0, MAX($C$2:C2468)+1, "")</f>
        <v>2467</v>
      </c>
      <c r="D2469" t="str">
        <f t="shared" si="38"/>
        <v/>
      </c>
    </row>
    <row r="2470" spans="1:4">
      <c r="A2470" s="42" t="s">
        <v>2532</v>
      </c>
      <c r="B2470">
        <f>IFERROR(FIND('Simulador IR 2025'!$I$29, A2470), 0)</f>
        <v>1</v>
      </c>
      <c r="C2470">
        <f>IF(B2470&gt;0, MAX($C$2:C2469)+1, "")</f>
        <v>2468</v>
      </c>
      <c r="D2470" t="str">
        <f t="shared" si="38"/>
        <v/>
      </c>
    </row>
    <row r="2471" spans="1:4">
      <c r="A2471" s="42" t="s">
        <v>2533</v>
      </c>
      <c r="B2471">
        <f>IFERROR(FIND('Simulador IR 2025'!$I$29, A2471), 0)</f>
        <v>1</v>
      </c>
      <c r="C2471">
        <f>IF(B2471&gt;0, MAX($C$2:C2470)+1, "")</f>
        <v>2469</v>
      </c>
      <c r="D2471" t="str">
        <f t="shared" si="38"/>
        <v/>
      </c>
    </row>
    <row r="2472" spans="1:4">
      <c r="A2472" s="42" t="s">
        <v>2534</v>
      </c>
      <c r="B2472">
        <f>IFERROR(FIND('Simulador IR 2025'!$I$29, A2472), 0)</f>
        <v>1</v>
      </c>
      <c r="C2472">
        <f>IF(B2472&gt;0, MAX($C$2:C2471)+1, "")</f>
        <v>2470</v>
      </c>
      <c r="D2472" t="str">
        <f t="shared" si="38"/>
        <v/>
      </c>
    </row>
    <row r="2473" spans="1:4">
      <c r="A2473" s="42" t="s">
        <v>2535</v>
      </c>
      <c r="B2473">
        <f>IFERROR(FIND('Simulador IR 2025'!$I$29, A2473), 0)</f>
        <v>1</v>
      </c>
      <c r="C2473">
        <f>IF(B2473&gt;0, MAX($C$2:C2472)+1, "")</f>
        <v>2471</v>
      </c>
      <c r="D2473" t="str">
        <f t="shared" si="38"/>
        <v/>
      </c>
    </row>
    <row r="2474" spans="1:4">
      <c r="A2474" s="42" t="s">
        <v>2536</v>
      </c>
      <c r="B2474">
        <f>IFERROR(FIND('Simulador IR 2025'!$I$29, A2474), 0)</f>
        <v>1</v>
      </c>
      <c r="C2474">
        <f>IF(B2474&gt;0, MAX($C$2:C2473)+1, "")</f>
        <v>2472</v>
      </c>
      <c r="D2474" t="str">
        <f t="shared" si="38"/>
        <v/>
      </c>
    </row>
    <row r="2475" spans="1:4">
      <c r="A2475" s="42" t="s">
        <v>2537</v>
      </c>
      <c r="B2475">
        <f>IFERROR(FIND('Simulador IR 2025'!$I$29, A2475), 0)</f>
        <v>1</v>
      </c>
      <c r="C2475">
        <f>IF(B2475&gt;0, MAX($C$2:C2474)+1, "")</f>
        <v>2473</v>
      </c>
      <c r="D2475" t="str">
        <f t="shared" si="38"/>
        <v/>
      </c>
    </row>
    <row r="2476" spans="1:4">
      <c r="A2476" s="42" t="s">
        <v>2538</v>
      </c>
      <c r="B2476">
        <f>IFERROR(FIND('Simulador IR 2025'!$I$29, A2476), 0)</f>
        <v>1</v>
      </c>
      <c r="C2476">
        <f>IF(B2476&gt;0, MAX($C$2:C2475)+1, "")</f>
        <v>2474</v>
      </c>
      <c r="D2476" t="str">
        <f t="shared" si="38"/>
        <v/>
      </c>
    </row>
    <row r="2477" spans="1:4">
      <c r="A2477" s="42" t="s">
        <v>2539</v>
      </c>
      <c r="B2477">
        <f>IFERROR(FIND('Simulador IR 2025'!$I$29, A2477), 0)</f>
        <v>1</v>
      </c>
      <c r="C2477">
        <f>IF(B2477&gt;0, MAX($C$2:C2476)+1, "")</f>
        <v>2475</v>
      </c>
      <c r="D2477" t="str">
        <f t="shared" si="38"/>
        <v/>
      </c>
    </row>
    <row r="2478" spans="1:4">
      <c r="A2478" s="42" t="s">
        <v>2540</v>
      </c>
      <c r="B2478">
        <f>IFERROR(FIND('Simulador IR 2025'!$I$29, A2478), 0)</f>
        <v>1</v>
      </c>
      <c r="C2478">
        <f>IF(B2478&gt;0, MAX($C$2:C2477)+1, "")</f>
        <v>2476</v>
      </c>
      <c r="D2478" t="str">
        <f t="shared" si="38"/>
        <v/>
      </c>
    </row>
    <row r="2479" spans="1:4">
      <c r="A2479" s="42" t="s">
        <v>2541</v>
      </c>
      <c r="B2479">
        <f>IFERROR(FIND('Simulador IR 2025'!$I$29, A2479), 0)</f>
        <v>1</v>
      </c>
      <c r="C2479">
        <f>IF(B2479&gt;0, MAX($C$2:C2478)+1, "")</f>
        <v>2477</v>
      </c>
      <c r="D2479" t="str">
        <f t="shared" si="38"/>
        <v/>
      </c>
    </row>
    <row r="2480" spans="1:4">
      <c r="A2480" s="42" t="s">
        <v>2542</v>
      </c>
      <c r="B2480">
        <f>IFERROR(FIND('Simulador IR 2025'!$I$29, A2480), 0)</f>
        <v>1</v>
      </c>
      <c r="C2480">
        <f>IF(B2480&gt;0, MAX($C$2:C2479)+1, "")</f>
        <v>2478</v>
      </c>
      <c r="D2480" t="str">
        <f t="shared" si="38"/>
        <v/>
      </c>
    </row>
    <row r="2481" spans="1:4">
      <c r="A2481" s="42" t="s">
        <v>2543</v>
      </c>
      <c r="B2481">
        <f>IFERROR(FIND('Simulador IR 2025'!$I$29, A2481), 0)</f>
        <v>1</v>
      </c>
      <c r="C2481">
        <f>IF(B2481&gt;0, MAX($C$2:C2480)+1, "")</f>
        <v>2479</v>
      </c>
      <c r="D2481" t="str">
        <f t="shared" si="38"/>
        <v/>
      </c>
    </row>
    <row r="2482" spans="1:4">
      <c r="A2482" s="42" t="s">
        <v>2544</v>
      </c>
      <c r="B2482">
        <f>IFERROR(FIND('Simulador IR 2025'!$I$29, A2482), 0)</f>
        <v>1</v>
      </c>
      <c r="C2482">
        <f>IF(B2482&gt;0, MAX($C$2:C2481)+1, "")</f>
        <v>2480</v>
      </c>
      <c r="D2482" t="str">
        <f t="shared" si="38"/>
        <v/>
      </c>
    </row>
    <row r="2483" spans="1:4">
      <c r="A2483" s="42" t="s">
        <v>2545</v>
      </c>
      <c r="B2483">
        <f>IFERROR(FIND('Simulador IR 2025'!$I$29, A2483), 0)</f>
        <v>1</v>
      </c>
      <c r="C2483">
        <f>IF(B2483&gt;0, MAX($C$2:C2482)+1, "")</f>
        <v>2481</v>
      </c>
      <c r="D2483" t="str">
        <f t="shared" si="38"/>
        <v/>
      </c>
    </row>
    <row r="2484" spans="1:4">
      <c r="A2484" s="42" t="s">
        <v>2546</v>
      </c>
      <c r="B2484">
        <f>IFERROR(FIND('Simulador IR 2025'!$I$29, A2484), 0)</f>
        <v>1</v>
      </c>
      <c r="C2484">
        <f>IF(B2484&gt;0, MAX($C$2:C2483)+1, "")</f>
        <v>2482</v>
      </c>
      <c r="D2484" t="str">
        <f t="shared" si="38"/>
        <v/>
      </c>
    </row>
    <row r="2485" spans="1:4">
      <c r="A2485" s="42" t="s">
        <v>2547</v>
      </c>
      <c r="B2485">
        <f>IFERROR(FIND('Simulador IR 2025'!$I$29, A2485), 0)</f>
        <v>1</v>
      </c>
      <c r="C2485">
        <f>IF(B2485&gt;0, MAX($C$2:C2484)+1, "")</f>
        <v>2483</v>
      </c>
      <c r="D2485" t="str">
        <f t="shared" si="38"/>
        <v/>
      </c>
    </row>
    <row r="2486" spans="1:4">
      <c r="A2486" s="42" t="s">
        <v>2548</v>
      </c>
      <c r="B2486">
        <f>IFERROR(FIND('Simulador IR 2025'!$I$29, A2486), 0)</f>
        <v>1</v>
      </c>
      <c r="C2486">
        <f>IF(B2486&gt;0, MAX($C$2:C2485)+1, "")</f>
        <v>2484</v>
      </c>
      <c r="D2486" t="str">
        <f t="shared" si="38"/>
        <v/>
      </c>
    </row>
    <row r="2487" spans="1:4">
      <c r="A2487" s="42" t="s">
        <v>2549</v>
      </c>
      <c r="B2487">
        <f>IFERROR(FIND('Simulador IR 2025'!$I$29, A2487), 0)</f>
        <v>1</v>
      </c>
      <c r="C2487">
        <f>IF(B2487&gt;0, MAX($C$2:C2486)+1, "")</f>
        <v>2485</v>
      </c>
      <c r="D2487" t="str">
        <f t="shared" si="38"/>
        <v/>
      </c>
    </row>
    <row r="2488" spans="1:4">
      <c r="A2488" s="42" t="s">
        <v>2550</v>
      </c>
      <c r="B2488">
        <f>IFERROR(FIND('Simulador IR 2025'!$I$29, A2488), 0)</f>
        <v>1</v>
      </c>
      <c r="C2488">
        <f>IF(B2488&gt;0, MAX($C$2:C2487)+1, "")</f>
        <v>2486</v>
      </c>
      <c r="D2488" t="str">
        <f t="shared" si="38"/>
        <v/>
      </c>
    </row>
    <row r="2489" spans="1:4">
      <c r="A2489" s="42" t="s">
        <v>2551</v>
      </c>
      <c r="B2489">
        <f>IFERROR(FIND('Simulador IR 2025'!$I$29, A2489), 0)</f>
        <v>1</v>
      </c>
      <c r="C2489">
        <f>IF(B2489&gt;0, MAX($C$2:C2488)+1, "")</f>
        <v>2487</v>
      </c>
      <c r="D2489" t="str">
        <f t="shared" si="38"/>
        <v/>
      </c>
    </row>
    <row r="2490" spans="1:4">
      <c r="A2490" s="42" t="s">
        <v>2552</v>
      </c>
      <c r="B2490">
        <f>IFERROR(FIND('Simulador IR 2025'!$I$29, A2490), 0)</f>
        <v>1</v>
      </c>
      <c r="C2490">
        <f>IF(B2490&gt;0, MAX($C$2:C2489)+1, "")</f>
        <v>2488</v>
      </c>
      <c r="D2490" t="str">
        <f t="shared" si="38"/>
        <v/>
      </c>
    </row>
    <row r="2491" spans="1:4">
      <c r="A2491" s="42" t="s">
        <v>2553</v>
      </c>
      <c r="B2491">
        <f>IFERROR(FIND('Simulador IR 2025'!$I$29, A2491), 0)</f>
        <v>1</v>
      </c>
      <c r="C2491">
        <f>IF(B2491&gt;0, MAX($C$2:C2490)+1, "")</f>
        <v>2489</v>
      </c>
      <c r="D2491" t="str">
        <f t="shared" si="38"/>
        <v/>
      </c>
    </row>
    <row r="2492" spans="1:4">
      <c r="A2492" s="42" t="s">
        <v>2554</v>
      </c>
      <c r="B2492">
        <f>IFERROR(FIND('Simulador IR 2025'!$I$29, A2492), 0)</f>
        <v>1</v>
      </c>
      <c r="C2492">
        <f>IF(B2492&gt;0, MAX($C$2:C2491)+1, "")</f>
        <v>2490</v>
      </c>
      <c r="D2492" t="str">
        <f t="shared" si="38"/>
        <v/>
      </c>
    </row>
    <row r="2493" spans="1:4">
      <c r="A2493" s="42" t="s">
        <v>2555</v>
      </c>
      <c r="B2493">
        <f>IFERROR(FIND('Simulador IR 2025'!$I$29, A2493), 0)</f>
        <v>1</v>
      </c>
      <c r="C2493">
        <f>IF(B2493&gt;0, MAX($C$2:C2492)+1, "")</f>
        <v>2491</v>
      </c>
      <c r="D2493" t="str">
        <f t="shared" si="38"/>
        <v/>
      </c>
    </row>
    <row r="2494" spans="1:4">
      <c r="A2494" s="42" t="s">
        <v>2556</v>
      </c>
      <c r="B2494">
        <f>IFERROR(FIND('Simulador IR 2025'!$I$29, A2494), 0)</f>
        <v>1</v>
      </c>
      <c r="C2494">
        <f>IF(B2494&gt;0, MAX($C$2:C2493)+1, "")</f>
        <v>2492</v>
      </c>
      <c r="D2494" t="str">
        <f t="shared" si="38"/>
        <v/>
      </c>
    </row>
    <row r="2495" spans="1:4">
      <c r="A2495" s="42" t="s">
        <v>2557</v>
      </c>
      <c r="B2495">
        <f>IFERROR(FIND('Simulador IR 2025'!$I$29, A2495), 0)</f>
        <v>1</v>
      </c>
      <c r="C2495">
        <f>IF(B2495&gt;0, MAX($C$2:C2494)+1, "")</f>
        <v>2493</v>
      </c>
      <c r="D2495" t="str">
        <f t="shared" si="38"/>
        <v/>
      </c>
    </row>
    <row r="2496" spans="1:4">
      <c r="A2496" s="42" t="s">
        <v>2558</v>
      </c>
      <c r="B2496">
        <f>IFERROR(FIND('Simulador IR 2025'!$I$29, A2496), 0)</f>
        <v>1</v>
      </c>
      <c r="C2496">
        <f>IF(B2496&gt;0, MAX($C$2:C2495)+1, "")</f>
        <v>2494</v>
      </c>
      <c r="D2496" t="str">
        <f t="shared" si="38"/>
        <v/>
      </c>
    </row>
    <row r="2497" spans="1:4">
      <c r="A2497" s="42" t="s">
        <v>2559</v>
      </c>
      <c r="B2497">
        <f>IFERROR(FIND('Simulador IR 2025'!$I$29, A2497), 0)</f>
        <v>1</v>
      </c>
      <c r="C2497">
        <f>IF(B2497&gt;0, MAX($C$2:C2496)+1, "")</f>
        <v>2495</v>
      </c>
      <c r="D2497" t="str">
        <f t="shared" si="38"/>
        <v/>
      </c>
    </row>
    <row r="2498" spans="1:4">
      <c r="A2498" s="42" t="s">
        <v>2560</v>
      </c>
      <c r="B2498">
        <f>IFERROR(FIND('Simulador IR 2025'!$I$29, A2498), 0)</f>
        <v>1</v>
      </c>
      <c r="C2498">
        <f>IF(B2498&gt;0, MAX($C$2:C2497)+1, "")</f>
        <v>2496</v>
      </c>
      <c r="D2498" t="str">
        <f t="shared" si="38"/>
        <v/>
      </c>
    </row>
    <row r="2499" spans="1:4">
      <c r="A2499" s="42" t="s">
        <v>2561</v>
      </c>
      <c r="B2499">
        <f>IFERROR(FIND('Simulador IR 2025'!$I$29, A2499), 0)</f>
        <v>1</v>
      </c>
      <c r="C2499">
        <f>IF(B2499&gt;0, MAX($C$2:C2498)+1, "")</f>
        <v>2497</v>
      </c>
      <c r="D2499" t="str">
        <f t="shared" si="38"/>
        <v/>
      </c>
    </row>
    <row r="2500" spans="1:4">
      <c r="A2500" s="42" t="s">
        <v>2562</v>
      </c>
      <c r="B2500">
        <f>IFERROR(FIND('Simulador IR 2025'!$I$29, A2500), 0)</f>
        <v>1</v>
      </c>
      <c r="C2500">
        <f>IF(B2500&gt;0, MAX($C$2:C2499)+1, "")</f>
        <v>2498</v>
      </c>
      <c r="D2500" t="str">
        <f t="shared" ref="D2500:D2563" si="39">IFERROR(VLOOKUP(ROW(A2498), $A$3:$C$2681, -2, FALSE), "")</f>
        <v/>
      </c>
    </row>
    <row r="2501" spans="1:4">
      <c r="A2501" s="42" t="s">
        <v>2563</v>
      </c>
      <c r="B2501">
        <f>IFERROR(FIND('Simulador IR 2025'!$I$29, A2501), 0)</f>
        <v>1</v>
      </c>
      <c r="C2501">
        <f>IF(B2501&gt;0, MAX($C$2:C2500)+1, "")</f>
        <v>2499</v>
      </c>
      <c r="D2501" t="str">
        <f t="shared" si="39"/>
        <v/>
      </c>
    </row>
    <row r="2502" spans="1:4">
      <c r="A2502" s="42" t="s">
        <v>2564</v>
      </c>
      <c r="B2502">
        <f>IFERROR(FIND('Simulador IR 2025'!$I$29, A2502), 0)</f>
        <v>1</v>
      </c>
      <c r="C2502">
        <f>IF(B2502&gt;0, MAX($C$2:C2501)+1, "")</f>
        <v>2500</v>
      </c>
      <c r="D2502" t="str">
        <f t="shared" si="39"/>
        <v/>
      </c>
    </row>
    <row r="2503" spans="1:4">
      <c r="A2503" s="42" t="s">
        <v>2565</v>
      </c>
      <c r="B2503">
        <f>IFERROR(FIND('Simulador IR 2025'!$I$29, A2503), 0)</f>
        <v>1</v>
      </c>
      <c r="C2503">
        <f>IF(B2503&gt;0, MAX($C$2:C2502)+1, "")</f>
        <v>2501</v>
      </c>
      <c r="D2503" t="str">
        <f t="shared" si="39"/>
        <v/>
      </c>
    </row>
    <row r="2504" spans="1:4">
      <c r="A2504" s="42" t="s">
        <v>2566</v>
      </c>
      <c r="B2504">
        <f>IFERROR(FIND('Simulador IR 2025'!$I$29, A2504), 0)</f>
        <v>1</v>
      </c>
      <c r="C2504">
        <f>IF(B2504&gt;0, MAX($C$2:C2503)+1, "")</f>
        <v>2502</v>
      </c>
      <c r="D2504" t="str">
        <f t="shared" si="39"/>
        <v/>
      </c>
    </row>
    <row r="2505" spans="1:4">
      <c r="A2505" s="42" t="s">
        <v>2567</v>
      </c>
      <c r="B2505">
        <f>IFERROR(FIND('Simulador IR 2025'!$I$29, A2505), 0)</f>
        <v>1</v>
      </c>
      <c r="C2505">
        <f>IF(B2505&gt;0, MAX($C$2:C2504)+1, "")</f>
        <v>2503</v>
      </c>
      <c r="D2505" t="str">
        <f t="shared" si="39"/>
        <v/>
      </c>
    </row>
    <row r="2506" spans="1:4">
      <c r="A2506" s="42" t="s">
        <v>2568</v>
      </c>
      <c r="B2506">
        <f>IFERROR(FIND('Simulador IR 2025'!$I$29, A2506), 0)</f>
        <v>1</v>
      </c>
      <c r="C2506">
        <f>IF(B2506&gt;0, MAX($C$2:C2505)+1, "")</f>
        <v>2504</v>
      </c>
      <c r="D2506" t="str">
        <f t="shared" si="39"/>
        <v/>
      </c>
    </row>
    <row r="2507" spans="1:4">
      <c r="A2507" s="42" t="s">
        <v>2569</v>
      </c>
      <c r="B2507">
        <f>IFERROR(FIND('Simulador IR 2025'!$I$29, A2507), 0)</f>
        <v>1</v>
      </c>
      <c r="C2507">
        <f>IF(B2507&gt;0, MAX($C$2:C2506)+1, "")</f>
        <v>2505</v>
      </c>
      <c r="D2507" t="str">
        <f t="shared" si="39"/>
        <v/>
      </c>
    </row>
    <row r="2508" spans="1:4">
      <c r="A2508" s="42" t="s">
        <v>2570</v>
      </c>
      <c r="B2508">
        <f>IFERROR(FIND('Simulador IR 2025'!$I$29, A2508), 0)</f>
        <v>1</v>
      </c>
      <c r="C2508">
        <f>IF(B2508&gt;0, MAX($C$2:C2507)+1, "")</f>
        <v>2506</v>
      </c>
      <c r="D2508" t="str">
        <f t="shared" si="39"/>
        <v/>
      </c>
    </row>
    <row r="2509" spans="1:4">
      <c r="A2509" s="42" t="s">
        <v>2571</v>
      </c>
      <c r="B2509">
        <f>IFERROR(FIND('Simulador IR 2025'!$I$29, A2509), 0)</f>
        <v>1</v>
      </c>
      <c r="C2509">
        <f>IF(B2509&gt;0, MAX($C$2:C2508)+1, "")</f>
        <v>2507</v>
      </c>
      <c r="D2509" t="str">
        <f t="shared" si="39"/>
        <v/>
      </c>
    </row>
    <row r="2510" spans="1:4">
      <c r="A2510" s="42" t="s">
        <v>2572</v>
      </c>
      <c r="B2510">
        <f>IFERROR(FIND('Simulador IR 2025'!$I$29, A2510), 0)</f>
        <v>1</v>
      </c>
      <c r="C2510">
        <f>IF(B2510&gt;0, MAX($C$2:C2509)+1, "")</f>
        <v>2508</v>
      </c>
      <c r="D2510" t="str">
        <f t="shared" si="39"/>
        <v/>
      </c>
    </row>
    <row r="2511" spans="1:4">
      <c r="A2511" s="42" t="s">
        <v>2573</v>
      </c>
      <c r="B2511">
        <f>IFERROR(FIND('Simulador IR 2025'!$I$29, A2511), 0)</f>
        <v>1</v>
      </c>
      <c r="C2511">
        <f>IF(B2511&gt;0, MAX($C$2:C2510)+1, "")</f>
        <v>2509</v>
      </c>
      <c r="D2511" t="str">
        <f t="shared" si="39"/>
        <v/>
      </c>
    </row>
    <row r="2512" spans="1:4">
      <c r="A2512" s="42" t="s">
        <v>2574</v>
      </c>
      <c r="B2512">
        <f>IFERROR(FIND('Simulador IR 2025'!$I$29, A2512), 0)</f>
        <v>1</v>
      </c>
      <c r="C2512">
        <f>IF(B2512&gt;0, MAX($C$2:C2511)+1, "")</f>
        <v>2510</v>
      </c>
      <c r="D2512" t="str">
        <f t="shared" si="39"/>
        <v/>
      </c>
    </row>
    <row r="2513" spans="1:4">
      <c r="A2513" s="42" t="s">
        <v>2575</v>
      </c>
      <c r="B2513">
        <f>IFERROR(FIND('Simulador IR 2025'!$I$29, A2513), 0)</f>
        <v>1</v>
      </c>
      <c r="C2513">
        <f>IF(B2513&gt;0, MAX($C$2:C2512)+1, "")</f>
        <v>2511</v>
      </c>
      <c r="D2513" t="str">
        <f t="shared" si="39"/>
        <v/>
      </c>
    </row>
    <row r="2514" spans="1:4">
      <c r="A2514" s="42" t="s">
        <v>2576</v>
      </c>
      <c r="B2514">
        <f>IFERROR(FIND('Simulador IR 2025'!$I$29, A2514), 0)</f>
        <v>1</v>
      </c>
      <c r="C2514">
        <f>IF(B2514&gt;0, MAX($C$2:C2513)+1, "")</f>
        <v>2512</v>
      </c>
      <c r="D2514" t="str">
        <f t="shared" si="39"/>
        <v/>
      </c>
    </row>
    <row r="2515" spans="1:4">
      <c r="A2515" s="42" t="s">
        <v>2577</v>
      </c>
      <c r="B2515">
        <f>IFERROR(FIND('Simulador IR 2025'!$I$29, A2515), 0)</f>
        <v>1</v>
      </c>
      <c r="C2515">
        <f>IF(B2515&gt;0, MAX($C$2:C2514)+1, "")</f>
        <v>2513</v>
      </c>
      <c r="D2515" t="str">
        <f t="shared" si="39"/>
        <v/>
      </c>
    </row>
    <row r="2516" spans="1:4">
      <c r="A2516" s="42" t="s">
        <v>2578</v>
      </c>
      <c r="B2516">
        <f>IFERROR(FIND('Simulador IR 2025'!$I$29, A2516), 0)</f>
        <v>1</v>
      </c>
      <c r="C2516">
        <f>IF(B2516&gt;0, MAX($C$2:C2515)+1, "")</f>
        <v>2514</v>
      </c>
      <c r="D2516" t="str">
        <f t="shared" si="39"/>
        <v/>
      </c>
    </row>
    <row r="2517" spans="1:4">
      <c r="A2517" s="42" t="s">
        <v>2579</v>
      </c>
      <c r="B2517">
        <f>IFERROR(FIND('Simulador IR 2025'!$I$29, A2517), 0)</f>
        <v>1</v>
      </c>
      <c r="C2517">
        <f>IF(B2517&gt;0, MAX($C$2:C2516)+1, "")</f>
        <v>2515</v>
      </c>
      <c r="D2517" t="str">
        <f t="shared" si="39"/>
        <v/>
      </c>
    </row>
    <row r="2518" spans="1:4">
      <c r="A2518" s="42" t="s">
        <v>2580</v>
      </c>
      <c r="B2518">
        <f>IFERROR(FIND('Simulador IR 2025'!$I$29, A2518), 0)</f>
        <v>1</v>
      </c>
      <c r="C2518">
        <f>IF(B2518&gt;0, MAX($C$2:C2517)+1, "")</f>
        <v>2516</v>
      </c>
      <c r="D2518" t="str">
        <f t="shared" si="39"/>
        <v/>
      </c>
    </row>
    <row r="2519" spans="1:4">
      <c r="A2519" s="42" t="s">
        <v>2581</v>
      </c>
      <c r="B2519">
        <f>IFERROR(FIND('Simulador IR 2025'!$I$29, A2519), 0)</f>
        <v>1</v>
      </c>
      <c r="C2519">
        <f>IF(B2519&gt;0, MAX($C$2:C2518)+1, "")</f>
        <v>2517</v>
      </c>
      <c r="D2519" t="str">
        <f t="shared" si="39"/>
        <v/>
      </c>
    </row>
    <row r="2520" spans="1:4">
      <c r="A2520" s="42" t="s">
        <v>2582</v>
      </c>
      <c r="B2520">
        <f>IFERROR(FIND('Simulador IR 2025'!$I$29, A2520), 0)</f>
        <v>1</v>
      </c>
      <c r="C2520">
        <f>IF(B2520&gt;0, MAX($C$2:C2519)+1, "")</f>
        <v>2518</v>
      </c>
      <c r="D2520" t="str">
        <f t="shared" si="39"/>
        <v/>
      </c>
    </row>
    <row r="2521" spans="1:4">
      <c r="A2521" s="42" t="s">
        <v>2583</v>
      </c>
      <c r="B2521">
        <f>IFERROR(FIND('Simulador IR 2025'!$I$29, A2521), 0)</f>
        <v>1</v>
      </c>
      <c r="C2521">
        <f>IF(B2521&gt;0, MAX($C$2:C2520)+1, "")</f>
        <v>2519</v>
      </c>
      <c r="D2521" t="str">
        <f t="shared" si="39"/>
        <v/>
      </c>
    </row>
    <row r="2522" spans="1:4">
      <c r="A2522" s="42" t="s">
        <v>2584</v>
      </c>
      <c r="B2522">
        <f>IFERROR(FIND('Simulador IR 2025'!$I$29, A2522), 0)</f>
        <v>1</v>
      </c>
      <c r="C2522">
        <f>IF(B2522&gt;0, MAX($C$2:C2521)+1, "")</f>
        <v>2520</v>
      </c>
      <c r="D2522" t="str">
        <f t="shared" si="39"/>
        <v/>
      </c>
    </row>
    <row r="2523" spans="1:4">
      <c r="A2523" s="42" t="s">
        <v>2585</v>
      </c>
      <c r="B2523">
        <f>IFERROR(FIND('Simulador IR 2025'!$I$29, A2523), 0)</f>
        <v>1</v>
      </c>
      <c r="C2523">
        <f>IF(B2523&gt;0, MAX($C$2:C2522)+1, "")</f>
        <v>2521</v>
      </c>
      <c r="D2523" t="str">
        <f t="shared" si="39"/>
        <v/>
      </c>
    </row>
    <row r="2524" spans="1:4">
      <c r="A2524" s="42" t="s">
        <v>2586</v>
      </c>
      <c r="B2524">
        <f>IFERROR(FIND('Simulador IR 2025'!$I$29, A2524), 0)</f>
        <v>1</v>
      </c>
      <c r="C2524">
        <f>IF(B2524&gt;0, MAX($C$2:C2523)+1, "")</f>
        <v>2522</v>
      </c>
      <c r="D2524" t="str">
        <f t="shared" si="39"/>
        <v/>
      </c>
    </row>
    <row r="2525" spans="1:4">
      <c r="A2525" s="42" t="s">
        <v>2587</v>
      </c>
      <c r="B2525">
        <f>IFERROR(FIND('Simulador IR 2025'!$I$29, A2525), 0)</f>
        <v>1</v>
      </c>
      <c r="C2525">
        <f>IF(B2525&gt;0, MAX($C$2:C2524)+1, "")</f>
        <v>2523</v>
      </c>
      <c r="D2525" t="str">
        <f t="shared" si="39"/>
        <v/>
      </c>
    </row>
    <row r="2526" spans="1:4">
      <c r="A2526" s="42" t="s">
        <v>2588</v>
      </c>
      <c r="B2526">
        <f>IFERROR(FIND('Simulador IR 2025'!$I$29, A2526), 0)</f>
        <v>1</v>
      </c>
      <c r="C2526">
        <f>IF(B2526&gt;0, MAX($C$2:C2525)+1, "")</f>
        <v>2524</v>
      </c>
      <c r="D2526" t="str">
        <f t="shared" si="39"/>
        <v/>
      </c>
    </row>
    <row r="2527" spans="1:4">
      <c r="A2527" s="42" t="s">
        <v>2589</v>
      </c>
      <c r="B2527">
        <f>IFERROR(FIND('Simulador IR 2025'!$I$29, A2527), 0)</f>
        <v>1</v>
      </c>
      <c r="C2527">
        <f>IF(B2527&gt;0, MAX($C$2:C2526)+1, "")</f>
        <v>2525</v>
      </c>
      <c r="D2527" t="str">
        <f t="shared" si="39"/>
        <v/>
      </c>
    </row>
    <row r="2528" spans="1:4">
      <c r="A2528" s="42" t="s">
        <v>2590</v>
      </c>
      <c r="B2528">
        <f>IFERROR(FIND('Simulador IR 2025'!$I$29, A2528), 0)</f>
        <v>1</v>
      </c>
      <c r="C2528">
        <f>IF(B2528&gt;0, MAX($C$2:C2527)+1, "")</f>
        <v>2526</v>
      </c>
      <c r="D2528" t="str">
        <f t="shared" si="39"/>
        <v/>
      </c>
    </row>
    <row r="2529" spans="1:4">
      <c r="A2529" s="42" t="s">
        <v>2591</v>
      </c>
      <c r="B2529">
        <f>IFERROR(FIND('Simulador IR 2025'!$I$29, A2529), 0)</f>
        <v>1</v>
      </c>
      <c r="C2529">
        <f>IF(B2529&gt;0, MAX($C$2:C2528)+1, "")</f>
        <v>2527</v>
      </c>
      <c r="D2529" t="str">
        <f t="shared" si="39"/>
        <v/>
      </c>
    </row>
    <row r="2530" spans="1:4">
      <c r="A2530" s="42" t="s">
        <v>2592</v>
      </c>
      <c r="B2530">
        <f>IFERROR(FIND('Simulador IR 2025'!$I$29, A2530), 0)</f>
        <v>1</v>
      </c>
      <c r="C2530">
        <f>IF(B2530&gt;0, MAX($C$2:C2529)+1, "")</f>
        <v>2528</v>
      </c>
      <c r="D2530" t="str">
        <f t="shared" si="39"/>
        <v/>
      </c>
    </row>
    <row r="2531" spans="1:4">
      <c r="A2531" s="42" t="s">
        <v>2593</v>
      </c>
      <c r="B2531">
        <f>IFERROR(FIND('Simulador IR 2025'!$I$29, A2531), 0)</f>
        <v>1</v>
      </c>
      <c r="C2531">
        <f>IF(B2531&gt;0, MAX($C$2:C2530)+1, "")</f>
        <v>2529</v>
      </c>
      <c r="D2531" t="str">
        <f t="shared" si="39"/>
        <v/>
      </c>
    </row>
    <row r="2532" spans="1:4">
      <c r="A2532" s="42" t="s">
        <v>2594</v>
      </c>
      <c r="B2532">
        <f>IFERROR(FIND('Simulador IR 2025'!$I$29, A2532), 0)</f>
        <v>1</v>
      </c>
      <c r="C2532">
        <f>IF(B2532&gt;0, MAX($C$2:C2531)+1, "")</f>
        <v>2530</v>
      </c>
      <c r="D2532" t="str">
        <f t="shared" si="39"/>
        <v/>
      </c>
    </row>
    <row r="2533" spans="1:4">
      <c r="A2533" s="42" t="s">
        <v>2595</v>
      </c>
      <c r="B2533">
        <f>IFERROR(FIND('Simulador IR 2025'!$I$29, A2533), 0)</f>
        <v>1</v>
      </c>
      <c r="C2533">
        <f>IF(B2533&gt;0, MAX($C$2:C2532)+1, "")</f>
        <v>2531</v>
      </c>
      <c r="D2533" t="str">
        <f t="shared" si="39"/>
        <v/>
      </c>
    </row>
    <row r="2534" spans="1:4">
      <c r="A2534" s="42" t="s">
        <v>2596</v>
      </c>
      <c r="B2534">
        <f>IFERROR(FIND('Simulador IR 2025'!$I$29, A2534), 0)</f>
        <v>1</v>
      </c>
      <c r="C2534">
        <f>IF(B2534&gt;0, MAX($C$2:C2533)+1, "")</f>
        <v>2532</v>
      </c>
      <c r="D2534" t="str">
        <f t="shared" si="39"/>
        <v/>
      </c>
    </row>
    <row r="2535" spans="1:4">
      <c r="A2535" s="42" t="s">
        <v>2597</v>
      </c>
      <c r="B2535">
        <f>IFERROR(FIND('Simulador IR 2025'!$I$29, A2535), 0)</f>
        <v>1</v>
      </c>
      <c r="C2535">
        <f>IF(B2535&gt;0, MAX($C$2:C2534)+1, "")</f>
        <v>2533</v>
      </c>
      <c r="D2535" t="str">
        <f t="shared" si="39"/>
        <v/>
      </c>
    </row>
    <row r="2536" spans="1:4">
      <c r="A2536" s="42" t="s">
        <v>2598</v>
      </c>
      <c r="B2536">
        <f>IFERROR(FIND('Simulador IR 2025'!$I$29, A2536), 0)</f>
        <v>1</v>
      </c>
      <c r="C2536">
        <f>IF(B2536&gt;0, MAX($C$2:C2535)+1, "")</f>
        <v>2534</v>
      </c>
      <c r="D2536" t="str">
        <f t="shared" si="39"/>
        <v/>
      </c>
    </row>
    <row r="2537" spans="1:4">
      <c r="A2537" s="42" t="s">
        <v>2599</v>
      </c>
      <c r="B2537">
        <f>IFERROR(FIND('Simulador IR 2025'!$I$29, A2537), 0)</f>
        <v>1</v>
      </c>
      <c r="C2537">
        <f>IF(B2537&gt;0, MAX($C$2:C2536)+1, "")</f>
        <v>2535</v>
      </c>
      <c r="D2537" t="str">
        <f t="shared" si="39"/>
        <v/>
      </c>
    </row>
    <row r="2538" spans="1:4">
      <c r="A2538" s="42" t="s">
        <v>2600</v>
      </c>
      <c r="B2538">
        <f>IFERROR(FIND('Simulador IR 2025'!$I$29, A2538), 0)</f>
        <v>1</v>
      </c>
      <c r="C2538">
        <f>IF(B2538&gt;0, MAX($C$2:C2537)+1, "")</f>
        <v>2536</v>
      </c>
      <c r="D2538" t="str">
        <f t="shared" si="39"/>
        <v/>
      </c>
    </row>
    <row r="2539" spans="1:4">
      <c r="A2539" s="42" t="s">
        <v>2601</v>
      </c>
      <c r="B2539">
        <f>IFERROR(FIND('Simulador IR 2025'!$I$29, A2539), 0)</f>
        <v>1</v>
      </c>
      <c r="C2539">
        <f>IF(B2539&gt;0, MAX($C$2:C2538)+1, "")</f>
        <v>2537</v>
      </c>
      <c r="D2539" t="str">
        <f t="shared" si="39"/>
        <v/>
      </c>
    </row>
    <row r="2540" spans="1:4">
      <c r="A2540" s="42" t="s">
        <v>2602</v>
      </c>
      <c r="B2540">
        <f>IFERROR(FIND('Simulador IR 2025'!$I$29, A2540), 0)</f>
        <v>1</v>
      </c>
      <c r="C2540">
        <f>IF(B2540&gt;0, MAX($C$2:C2539)+1, "")</f>
        <v>2538</v>
      </c>
      <c r="D2540" t="str">
        <f t="shared" si="39"/>
        <v/>
      </c>
    </row>
    <row r="2541" spans="1:4">
      <c r="A2541" s="42" t="s">
        <v>2603</v>
      </c>
      <c r="B2541">
        <f>IFERROR(FIND('Simulador IR 2025'!$I$29, A2541), 0)</f>
        <v>1</v>
      </c>
      <c r="C2541">
        <f>IF(B2541&gt;0, MAX($C$2:C2540)+1, "")</f>
        <v>2539</v>
      </c>
      <c r="D2541" t="str">
        <f t="shared" si="39"/>
        <v/>
      </c>
    </row>
    <row r="2542" spans="1:4">
      <c r="A2542" s="42" t="s">
        <v>2604</v>
      </c>
      <c r="B2542">
        <f>IFERROR(FIND('Simulador IR 2025'!$I$29, A2542), 0)</f>
        <v>1</v>
      </c>
      <c r="C2542">
        <f>IF(B2542&gt;0, MAX($C$2:C2541)+1, "")</f>
        <v>2540</v>
      </c>
      <c r="D2542" t="str">
        <f t="shared" si="39"/>
        <v/>
      </c>
    </row>
    <row r="2543" spans="1:4">
      <c r="A2543" s="42" t="s">
        <v>2605</v>
      </c>
      <c r="B2543">
        <f>IFERROR(FIND('Simulador IR 2025'!$I$29, A2543), 0)</f>
        <v>1</v>
      </c>
      <c r="C2543">
        <f>IF(B2543&gt;0, MAX($C$2:C2542)+1, "")</f>
        <v>2541</v>
      </c>
      <c r="D2543" t="str">
        <f t="shared" si="39"/>
        <v/>
      </c>
    </row>
    <row r="2544" spans="1:4">
      <c r="A2544" s="42" t="s">
        <v>2606</v>
      </c>
      <c r="B2544">
        <f>IFERROR(FIND('Simulador IR 2025'!$I$29, A2544), 0)</f>
        <v>1</v>
      </c>
      <c r="C2544">
        <f>IF(B2544&gt;0, MAX($C$2:C2543)+1, "")</f>
        <v>2542</v>
      </c>
      <c r="D2544" t="str">
        <f t="shared" si="39"/>
        <v/>
      </c>
    </row>
    <row r="2545" spans="1:4">
      <c r="A2545" s="42" t="s">
        <v>2607</v>
      </c>
      <c r="B2545">
        <f>IFERROR(FIND('Simulador IR 2025'!$I$29, A2545), 0)</f>
        <v>1</v>
      </c>
      <c r="C2545">
        <f>IF(B2545&gt;0, MAX($C$2:C2544)+1, "")</f>
        <v>2543</v>
      </c>
      <c r="D2545" t="str">
        <f t="shared" si="39"/>
        <v/>
      </c>
    </row>
    <row r="2546" spans="1:4">
      <c r="A2546" s="42" t="s">
        <v>2608</v>
      </c>
      <c r="B2546">
        <f>IFERROR(FIND('Simulador IR 2025'!$I$29, A2546), 0)</f>
        <v>1</v>
      </c>
      <c r="C2546">
        <f>IF(B2546&gt;0, MAX($C$2:C2545)+1, "")</f>
        <v>2544</v>
      </c>
      <c r="D2546" t="str">
        <f t="shared" si="39"/>
        <v/>
      </c>
    </row>
    <row r="2547" spans="1:4">
      <c r="A2547" s="42" t="s">
        <v>2609</v>
      </c>
      <c r="B2547">
        <f>IFERROR(FIND('Simulador IR 2025'!$I$29, A2547), 0)</f>
        <v>1</v>
      </c>
      <c r="C2547">
        <f>IF(B2547&gt;0, MAX($C$2:C2546)+1, "")</f>
        <v>2545</v>
      </c>
      <c r="D2547" t="str">
        <f t="shared" si="39"/>
        <v/>
      </c>
    </row>
    <row r="2548" spans="1:4">
      <c r="A2548" s="42" t="s">
        <v>2610</v>
      </c>
      <c r="B2548">
        <f>IFERROR(FIND('Simulador IR 2025'!$I$29, A2548), 0)</f>
        <v>1</v>
      </c>
      <c r="C2548">
        <f>IF(B2548&gt;0, MAX($C$2:C2547)+1, "")</f>
        <v>2546</v>
      </c>
      <c r="D2548" t="str">
        <f t="shared" si="39"/>
        <v/>
      </c>
    </row>
    <row r="2549" spans="1:4">
      <c r="A2549" s="42" t="s">
        <v>2611</v>
      </c>
      <c r="B2549">
        <f>IFERROR(FIND('Simulador IR 2025'!$I$29, A2549), 0)</f>
        <v>1</v>
      </c>
      <c r="C2549">
        <f>IF(B2549&gt;0, MAX($C$2:C2548)+1, "")</f>
        <v>2547</v>
      </c>
      <c r="D2549" t="str">
        <f t="shared" si="39"/>
        <v/>
      </c>
    </row>
    <row r="2550" spans="1:4">
      <c r="A2550" s="42" t="s">
        <v>2612</v>
      </c>
      <c r="B2550">
        <f>IFERROR(FIND('Simulador IR 2025'!$I$29, A2550), 0)</f>
        <v>1</v>
      </c>
      <c r="C2550">
        <f>IF(B2550&gt;0, MAX($C$2:C2549)+1, "")</f>
        <v>2548</v>
      </c>
      <c r="D2550" t="str">
        <f t="shared" si="39"/>
        <v/>
      </c>
    </row>
    <row r="2551" spans="1:4">
      <c r="A2551" s="42" t="s">
        <v>2613</v>
      </c>
      <c r="B2551">
        <f>IFERROR(FIND('Simulador IR 2025'!$I$29, A2551), 0)</f>
        <v>1</v>
      </c>
      <c r="C2551">
        <f>IF(B2551&gt;0, MAX($C$2:C2550)+1, "")</f>
        <v>2549</v>
      </c>
      <c r="D2551" t="str">
        <f t="shared" si="39"/>
        <v/>
      </c>
    </row>
    <row r="2552" spans="1:4">
      <c r="A2552" s="42" t="s">
        <v>2614</v>
      </c>
      <c r="B2552">
        <f>IFERROR(FIND('Simulador IR 2025'!$I$29, A2552), 0)</f>
        <v>1</v>
      </c>
      <c r="C2552">
        <f>IF(B2552&gt;0, MAX($C$2:C2551)+1, "")</f>
        <v>2550</v>
      </c>
      <c r="D2552" t="str">
        <f t="shared" si="39"/>
        <v/>
      </c>
    </row>
    <row r="2553" spans="1:4">
      <c r="A2553" s="42" t="s">
        <v>2615</v>
      </c>
      <c r="B2553">
        <f>IFERROR(FIND('Simulador IR 2025'!$I$29, A2553), 0)</f>
        <v>1</v>
      </c>
      <c r="C2553">
        <f>IF(B2553&gt;0, MAX($C$2:C2552)+1, "")</f>
        <v>2551</v>
      </c>
      <c r="D2553" t="str">
        <f t="shared" si="39"/>
        <v/>
      </c>
    </row>
    <row r="2554" spans="1:4">
      <c r="A2554" s="42" t="s">
        <v>2616</v>
      </c>
      <c r="B2554">
        <f>IFERROR(FIND('Simulador IR 2025'!$I$29, A2554), 0)</f>
        <v>1</v>
      </c>
      <c r="C2554">
        <f>IF(B2554&gt;0, MAX($C$2:C2553)+1, "")</f>
        <v>2552</v>
      </c>
      <c r="D2554" t="str">
        <f t="shared" si="39"/>
        <v/>
      </c>
    </row>
    <row r="2555" spans="1:4">
      <c r="A2555" s="42" t="s">
        <v>2617</v>
      </c>
      <c r="B2555">
        <f>IFERROR(FIND('Simulador IR 2025'!$I$29, A2555), 0)</f>
        <v>1</v>
      </c>
      <c r="C2555">
        <f>IF(B2555&gt;0, MAX($C$2:C2554)+1, "")</f>
        <v>2553</v>
      </c>
      <c r="D2555" t="str">
        <f t="shared" si="39"/>
        <v/>
      </c>
    </row>
    <row r="2556" spans="1:4">
      <c r="A2556" s="42" t="s">
        <v>2618</v>
      </c>
      <c r="B2556">
        <f>IFERROR(FIND('Simulador IR 2025'!$I$29, A2556), 0)</f>
        <v>1</v>
      </c>
      <c r="C2556">
        <f>IF(B2556&gt;0, MAX($C$2:C2555)+1, "")</f>
        <v>2554</v>
      </c>
      <c r="D2556" t="str">
        <f t="shared" si="39"/>
        <v/>
      </c>
    </row>
    <row r="2557" spans="1:4">
      <c r="A2557" s="42" t="s">
        <v>2619</v>
      </c>
      <c r="B2557">
        <f>IFERROR(FIND('Simulador IR 2025'!$I$29, A2557), 0)</f>
        <v>1</v>
      </c>
      <c r="C2557">
        <f>IF(B2557&gt;0, MAX($C$2:C2556)+1, "")</f>
        <v>2555</v>
      </c>
      <c r="D2557" t="str">
        <f t="shared" si="39"/>
        <v/>
      </c>
    </row>
    <row r="2558" spans="1:4">
      <c r="A2558" s="42" t="s">
        <v>2620</v>
      </c>
      <c r="B2558">
        <f>IFERROR(FIND('Simulador IR 2025'!$I$29, A2558), 0)</f>
        <v>1</v>
      </c>
      <c r="C2558">
        <f>IF(B2558&gt;0, MAX($C$2:C2557)+1, "")</f>
        <v>2556</v>
      </c>
      <c r="D2558" t="str">
        <f t="shared" si="39"/>
        <v/>
      </c>
    </row>
    <row r="2559" spans="1:4">
      <c r="A2559" s="42" t="s">
        <v>2621</v>
      </c>
      <c r="B2559">
        <f>IFERROR(FIND('Simulador IR 2025'!$I$29, A2559), 0)</f>
        <v>1</v>
      </c>
      <c r="C2559">
        <f>IF(B2559&gt;0, MAX($C$2:C2558)+1, "")</f>
        <v>2557</v>
      </c>
      <c r="D2559" t="str">
        <f t="shared" si="39"/>
        <v/>
      </c>
    </row>
    <row r="2560" spans="1:4">
      <c r="A2560" s="42" t="s">
        <v>2622</v>
      </c>
      <c r="B2560">
        <f>IFERROR(FIND('Simulador IR 2025'!$I$29, A2560), 0)</f>
        <v>1</v>
      </c>
      <c r="C2560">
        <f>IF(B2560&gt;0, MAX($C$2:C2559)+1, "")</f>
        <v>2558</v>
      </c>
      <c r="D2560" t="str">
        <f t="shared" si="39"/>
        <v/>
      </c>
    </row>
    <row r="2561" spans="1:4">
      <c r="A2561" s="42" t="s">
        <v>2623</v>
      </c>
      <c r="B2561">
        <f>IFERROR(FIND('Simulador IR 2025'!$I$29, A2561), 0)</f>
        <v>1</v>
      </c>
      <c r="C2561">
        <f>IF(B2561&gt;0, MAX($C$2:C2560)+1, "")</f>
        <v>2559</v>
      </c>
      <c r="D2561" t="str">
        <f t="shared" si="39"/>
        <v/>
      </c>
    </row>
    <row r="2562" spans="1:4">
      <c r="A2562" s="42" t="s">
        <v>2624</v>
      </c>
      <c r="B2562">
        <f>IFERROR(FIND('Simulador IR 2025'!$I$29, A2562), 0)</f>
        <v>1</v>
      </c>
      <c r="C2562">
        <f>IF(B2562&gt;0, MAX($C$2:C2561)+1, "")</f>
        <v>2560</v>
      </c>
      <c r="D2562" t="str">
        <f t="shared" si="39"/>
        <v/>
      </c>
    </row>
    <row r="2563" spans="1:4">
      <c r="A2563" s="42" t="s">
        <v>2625</v>
      </c>
      <c r="B2563">
        <f>IFERROR(FIND('Simulador IR 2025'!$I$29, A2563), 0)</f>
        <v>1</v>
      </c>
      <c r="C2563">
        <f>IF(B2563&gt;0, MAX($C$2:C2562)+1, "")</f>
        <v>2561</v>
      </c>
      <c r="D2563" t="str">
        <f t="shared" si="39"/>
        <v/>
      </c>
    </row>
    <row r="2564" spans="1:4">
      <c r="A2564" s="42" t="s">
        <v>2626</v>
      </c>
      <c r="B2564">
        <f>IFERROR(FIND('Simulador IR 2025'!$I$29, A2564), 0)</f>
        <v>1</v>
      </c>
      <c r="C2564">
        <f>IF(B2564&gt;0, MAX($C$2:C2563)+1, "")</f>
        <v>2562</v>
      </c>
      <c r="D2564" t="str">
        <f t="shared" ref="D2564:D2627" si="40">IFERROR(VLOOKUP(ROW(A2562), $A$3:$C$2681, -2, FALSE), "")</f>
        <v/>
      </c>
    </row>
    <row r="2565" spans="1:4">
      <c r="A2565" s="42" t="s">
        <v>2627</v>
      </c>
      <c r="B2565">
        <f>IFERROR(FIND('Simulador IR 2025'!$I$29, A2565), 0)</f>
        <v>1</v>
      </c>
      <c r="C2565">
        <f>IF(B2565&gt;0, MAX($C$2:C2564)+1, "")</f>
        <v>2563</v>
      </c>
      <c r="D2565" t="str">
        <f t="shared" si="40"/>
        <v/>
      </c>
    </row>
    <row r="2566" spans="1:4">
      <c r="A2566" s="42" t="s">
        <v>2628</v>
      </c>
      <c r="B2566">
        <f>IFERROR(FIND('Simulador IR 2025'!$I$29, A2566), 0)</f>
        <v>1</v>
      </c>
      <c r="C2566">
        <f>IF(B2566&gt;0, MAX($C$2:C2565)+1, "")</f>
        <v>2564</v>
      </c>
      <c r="D2566" t="str">
        <f t="shared" si="40"/>
        <v/>
      </c>
    </row>
    <row r="2567" spans="1:4">
      <c r="A2567" s="42" t="s">
        <v>2629</v>
      </c>
      <c r="B2567">
        <f>IFERROR(FIND('Simulador IR 2025'!$I$29, A2567), 0)</f>
        <v>1</v>
      </c>
      <c r="C2567">
        <f>IF(B2567&gt;0, MAX($C$2:C2566)+1, "")</f>
        <v>2565</v>
      </c>
      <c r="D2567" t="str">
        <f t="shared" si="40"/>
        <v/>
      </c>
    </row>
    <row r="2568" spans="1:4">
      <c r="A2568" s="42" t="s">
        <v>2630</v>
      </c>
      <c r="B2568">
        <f>IFERROR(FIND('Simulador IR 2025'!$I$29, A2568), 0)</f>
        <v>1</v>
      </c>
      <c r="C2568">
        <f>IF(B2568&gt;0, MAX($C$2:C2567)+1, "")</f>
        <v>2566</v>
      </c>
      <c r="D2568" t="str">
        <f t="shared" si="40"/>
        <v/>
      </c>
    </row>
    <row r="2569" spans="1:4">
      <c r="A2569" s="42" t="s">
        <v>2631</v>
      </c>
      <c r="B2569">
        <f>IFERROR(FIND('Simulador IR 2025'!$I$29, A2569), 0)</f>
        <v>1</v>
      </c>
      <c r="C2569">
        <f>IF(B2569&gt;0, MAX($C$2:C2568)+1, "")</f>
        <v>2567</v>
      </c>
      <c r="D2569" t="str">
        <f t="shared" si="40"/>
        <v/>
      </c>
    </row>
    <row r="2570" spans="1:4">
      <c r="A2570" s="42" t="s">
        <v>2632</v>
      </c>
      <c r="B2570">
        <f>IFERROR(FIND('Simulador IR 2025'!$I$29, A2570), 0)</f>
        <v>1</v>
      </c>
      <c r="C2570">
        <f>IF(B2570&gt;0, MAX($C$2:C2569)+1, "")</f>
        <v>2568</v>
      </c>
      <c r="D2570" t="str">
        <f t="shared" si="40"/>
        <v/>
      </c>
    </row>
    <row r="2571" spans="1:4">
      <c r="A2571" s="42" t="s">
        <v>2633</v>
      </c>
      <c r="B2571">
        <f>IFERROR(FIND('Simulador IR 2025'!$I$29, A2571), 0)</f>
        <v>1</v>
      </c>
      <c r="C2571">
        <f>IF(B2571&gt;0, MAX($C$2:C2570)+1, "")</f>
        <v>2569</v>
      </c>
      <c r="D2571" t="str">
        <f t="shared" si="40"/>
        <v/>
      </c>
    </row>
    <row r="2572" spans="1:4">
      <c r="A2572" s="42" t="s">
        <v>2634</v>
      </c>
      <c r="B2572">
        <f>IFERROR(FIND('Simulador IR 2025'!$I$29, A2572), 0)</f>
        <v>1</v>
      </c>
      <c r="C2572">
        <f>IF(B2572&gt;0, MAX($C$2:C2571)+1, "")</f>
        <v>2570</v>
      </c>
      <c r="D2572" t="str">
        <f t="shared" si="40"/>
        <v/>
      </c>
    </row>
    <row r="2573" spans="1:4">
      <c r="A2573" s="42" t="s">
        <v>2635</v>
      </c>
      <c r="B2573">
        <f>IFERROR(FIND('Simulador IR 2025'!$I$29, A2573), 0)</f>
        <v>1</v>
      </c>
      <c r="C2573">
        <f>IF(B2573&gt;0, MAX($C$2:C2572)+1, "")</f>
        <v>2571</v>
      </c>
      <c r="D2573" t="str">
        <f t="shared" si="40"/>
        <v/>
      </c>
    </row>
    <row r="2574" spans="1:4">
      <c r="A2574" s="42" t="s">
        <v>2636</v>
      </c>
      <c r="B2574">
        <f>IFERROR(FIND('Simulador IR 2025'!$I$29, A2574), 0)</f>
        <v>1</v>
      </c>
      <c r="C2574">
        <f>IF(B2574&gt;0, MAX($C$2:C2573)+1, "")</f>
        <v>2572</v>
      </c>
      <c r="D2574" t="str">
        <f t="shared" si="40"/>
        <v/>
      </c>
    </row>
    <row r="2575" spans="1:4">
      <c r="A2575" s="42" t="s">
        <v>2637</v>
      </c>
      <c r="B2575">
        <f>IFERROR(FIND('Simulador IR 2025'!$I$29, A2575), 0)</f>
        <v>1</v>
      </c>
      <c r="C2575">
        <f>IF(B2575&gt;0, MAX($C$2:C2574)+1, "")</f>
        <v>2573</v>
      </c>
      <c r="D2575" t="str">
        <f t="shared" si="40"/>
        <v/>
      </c>
    </row>
    <row r="2576" spans="1:4">
      <c r="A2576" s="42" t="s">
        <v>2638</v>
      </c>
      <c r="B2576">
        <f>IFERROR(FIND('Simulador IR 2025'!$I$29, A2576), 0)</f>
        <v>1</v>
      </c>
      <c r="C2576">
        <f>IF(B2576&gt;0, MAX($C$2:C2575)+1, "")</f>
        <v>2574</v>
      </c>
      <c r="D2576" t="str">
        <f t="shared" si="40"/>
        <v/>
      </c>
    </row>
    <row r="2577" spans="1:4">
      <c r="A2577" s="42" t="s">
        <v>2639</v>
      </c>
      <c r="B2577">
        <f>IFERROR(FIND('Simulador IR 2025'!$I$29, A2577), 0)</f>
        <v>1</v>
      </c>
      <c r="C2577">
        <f>IF(B2577&gt;0, MAX($C$2:C2576)+1, "")</f>
        <v>2575</v>
      </c>
      <c r="D2577" t="str">
        <f t="shared" si="40"/>
        <v/>
      </c>
    </row>
    <row r="2578" spans="1:4">
      <c r="A2578" s="42" t="s">
        <v>2640</v>
      </c>
      <c r="B2578">
        <f>IFERROR(FIND('Simulador IR 2025'!$I$29, A2578), 0)</f>
        <v>1</v>
      </c>
      <c r="C2578">
        <f>IF(B2578&gt;0, MAX($C$2:C2577)+1, "")</f>
        <v>2576</v>
      </c>
      <c r="D2578" t="str">
        <f t="shared" si="40"/>
        <v/>
      </c>
    </row>
    <row r="2579" spans="1:4">
      <c r="A2579" s="42" t="s">
        <v>2641</v>
      </c>
      <c r="B2579">
        <f>IFERROR(FIND('Simulador IR 2025'!$I$29, A2579), 0)</f>
        <v>1</v>
      </c>
      <c r="C2579">
        <f>IF(B2579&gt;0, MAX($C$2:C2578)+1, "")</f>
        <v>2577</v>
      </c>
      <c r="D2579" t="str">
        <f t="shared" si="40"/>
        <v/>
      </c>
    </row>
    <row r="2580" spans="1:4">
      <c r="A2580" s="42" t="s">
        <v>2642</v>
      </c>
      <c r="B2580">
        <f>IFERROR(FIND('Simulador IR 2025'!$I$29, A2580), 0)</f>
        <v>1</v>
      </c>
      <c r="C2580">
        <f>IF(B2580&gt;0, MAX($C$2:C2579)+1, "")</f>
        <v>2578</v>
      </c>
      <c r="D2580" t="str">
        <f t="shared" si="40"/>
        <v/>
      </c>
    </row>
    <row r="2581" spans="1:4">
      <c r="A2581" s="42" t="s">
        <v>2643</v>
      </c>
      <c r="B2581">
        <f>IFERROR(FIND('Simulador IR 2025'!$I$29, A2581), 0)</f>
        <v>1</v>
      </c>
      <c r="C2581">
        <f>IF(B2581&gt;0, MAX($C$2:C2580)+1, "")</f>
        <v>2579</v>
      </c>
      <c r="D2581" t="str">
        <f t="shared" si="40"/>
        <v/>
      </c>
    </row>
    <row r="2582" spans="1:4">
      <c r="A2582" s="42" t="s">
        <v>2644</v>
      </c>
      <c r="B2582">
        <f>IFERROR(FIND('Simulador IR 2025'!$I$29, A2582), 0)</f>
        <v>1</v>
      </c>
      <c r="C2582">
        <f>IF(B2582&gt;0, MAX($C$2:C2581)+1, "")</f>
        <v>2580</v>
      </c>
      <c r="D2582" t="str">
        <f t="shared" si="40"/>
        <v/>
      </c>
    </row>
    <row r="2583" spans="1:4">
      <c r="A2583" s="42" t="s">
        <v>2645</v>
      </c>
      <c r="B2583">
        <f>IFERROR(FIND('Simulador IR 2025'!$I$29, A2583), 0)</f>
        <v>1</v>
      </c>
      <c r="C2583">
        <f>IF(B2583&gt;0, MAX($C$2:C2582)+1, "")</f>
        <v>2581</v>
      </c>
      <c r="D2583" t="str">
        <f t="shared" si="40"/>
        <v/>
      </c>
    </row>
    <row r="2584" spans="1:4">
      <c r="A2584" s="42" t="s">
        <v>2646</v>
      </c>
      <c r="B2584">
        <f>IFERROR(FIND('Simulador IR 2025'!$I$29, A2584), 0)</f>
        <v>1</v>
      </c>
      <c r="C2584">
        <f>IF(B2584&gt;0, MAX($C$2:C2583)+1, "")</f>
        <v>2582</v>
      </c>
      <c r="D2584" t="str">
        <f t="shared" si="40"/>
        <v/>
      </c>
    </row>
    <row r="2585" spans="1:4">
      <c r="A2585" s="42" t="s">
        <v>2647</v>
      </c>
      <c r="B2585">
        <f>IFERROR(FIND('Simulador IR 2025'!$I$29, A2585), 0)</f>
        <v>1</v>
      </c>
      <c r="C2585">
        <f>IF(B2585&gt;0, MAX($C$2:C2584)+1, "")</f>
        <v>2583</v>
      </c>
      <c r="D2585" t="str">
        <f t="shared" si="40"/>
        <v/>
      </c>
    </row>
    <row r="2586" spans="1:4">
      <c r="A2586" s="42" t="s">
        <v>2648</v>
      </c>
      <c r="B2586">
        <f>IFERROR(FIND('Simulador IR 2025'!$I$29, A2586), 0)</f>
        <v>1</v>
      </c>
      <c r="C2586">
        <f>IF(B2586&gt;0, MAX($C$2:C2585)+1, "")</f>
        <v>2584</v>
      </c>
      <c r="D2586" t="str">
        <f t="shared" si="40"/>
        <v/>
      </c>
    </row>
    <row r="2587" spans="1:4">
      <c r="A2587" s="42" t="s">
        <v>2649</v>
      </c>
      <c r="B2587">
        <f>IFERROR(FIND('Simulador IR 2025'!$I$29, A2587), 0)</f>
        <v>1</v>
      </c>
      <c r="C2587">
        <f>IF(B2587&gt;0, MAX($C$2:C2586)+1, "")</f>
        <v>2585</v>
      </c>
      <c r="D2587" t="str">
        <f t="shared" si="40"/>
        <v/>
      </c>
    </row>
    <row r="2588" spans="1:4">
      <c r="A2588" s="42" t="s">
        <v>2650</v>
      </c>
      <c r="B2588">
        <f>IFERROR(FIND('Simulador IR 2025'!$I$29, A2588), 0)</f>
        <v>1</v>
      </c>
      <c r="C2588">
        <f>IF(B2588&gt;0, MAX($C$2:C2587)+1, "")</f>
        <v>2586</v>
      </c>
      <c r="D2588" t="str">
        <f t="shared" si="40"/>
        <v/>
      </c>
    </row>
    <row r="2589" spans="1:4">
      <c r="A2589" s="42" t="s">
        <v>2651</v>
      </c>
      <c r="B2589">
        <f>IFERROR(FIND('Simulador IR 2025'!$I$29, A2589), 0)</f>
        <v>1</v>
      </c>
      <c r="C2589">
        <f>IF(B2589&gt;0, MAX($C$2:C2588)+1, "")</f>
        <v>2587</v>
      </c>
      <c r="D2589" t="str">
        <f t="shared" si="40"/>
        <v/>
      </c>
    </row>
    <row r="2590" spans="1:4">
      <c r="A2590" s="42" t="s">
        <v>2652</v>
      </c>
      <c r="B2590">
        <f>IFERROR(FIND('Simulador IR 2025'!$I$29, A2590), 0)</f>
        <v>1</v>
      </c>
      <c r="C2590">
        <f>IF(B2590&gt;0, MAX($C$2:C2589)+1, "")</f>
        <v>2588</v>
      </c>
      <c r="D2590" t="str">
        <f t="shared" si="40"/>
        <v/>
      </c>
    </row>
    <row r="2591" spans="1:4">
      <c r="A2591" s="42" t="s">
        <v>2653</v>
      </c>
      <c r="B2591">
        <f>IFERROR(FIND('Simulador IR 2025'!$I$29, A2591), 0)</f>
        <v>1</v>
      </c>
      <c r="C2591">
        <f>IF(B2591&gt;0, MAX($C$2:C2590)+1, "")</f>
        <v>2589</v>
      </c>
      <c r="D2591" t="str">
        <f t="shared" si="40"/>
        <v/>
      </c>
    </row>
    <row r="2592" spans="1:4">
      <c r="A2592" s="42" t="s">
        <v>2654</v>
      </c>
      <c r="B2592">
        <f>IFERROR(FIND('Simulador IR 2025'!$I$29, A2592), 0)</f>
        <v>1</v>
      </c>
      <c r="C2592">
        <f>IF(B2592&gt;0, MAX($C$2:C2591)+1, "")</f>
        <v>2590</v>
      </c>
      <c r="D2592" t="str">
        <f t="shared" si="40"/>
        <v/>
      </c>
    </row>
    <row r="2593" spans="1:4">
      <c r="A2593" s="42" t="s">
        <v>2655</v>
      </c>
      <c r="B2593">
        <f>IFERROR(FIND('Simulador IR 2025'!$I$29, A2593), 0)</f>
        <v>1</v>
      </c>
      <c r="C2593">
        <f>IF(B2593&gt;0, MAX($C$2:C2592)+1, "")</f>
        <v>2591</v>
      </c>
      <c r="D2593" t="str">
        <f t="shared" si="40"/>
        <v/>
      </c>
    </row>
    <row r="2594" spans="1:4">
      <c r="A2594" s="42" t="s">
        <v>2656</v>
      </c>
      <c r="B2594">
        <f>IFERROR(FIND('Simulador IR 2025'!$I$29, A2594), 0)</f>
        <v>1</v>
      </c>
      <c r="C2594">
        <f>IF(B2594&gt;0, MAX($C$2:C2593)+1, "")</f>
        <v>2592</v>
      </c>
      <c r="D2594" t="str">
        <f t="shared" si="40"/>
        <v/>
      </c>
    </row>
    <row r="2595" spans="1:4">
      <c r="A2595" s="42" t="s">
        <v>2657</v>
      </c>
      <c r="B2595">
        <f>IFERROR(FIND('Simulador IR 2025'!$I$29, A2595), 0)</f>
        <v>1</v>
      </c>
      <c r="C2595">
        <f>IF(B2595&gt;0, MAX($C$2:C2594)+1, "")</f>
        <v>2593</v>
      </c>
      <c r="D2595" t="str">
        <f t="shared" si="40"/>
        <v/>
      </c>
    </row>
    <row r="2596" spans="1:4">
      <c r="A2596" s="42" t="s">
        <v>2658</v>
      </c>
      <c r="B2596">
        <f>IFERROR(FIND('Simulador IR 2025'!$I$29, A2596), 0)</f>
        <v>1</v>
      </c>
      <c r="C2596">
        <f>IF(B2596&gt;0, MAX($C$2:C2595)+1, "")</f>
        <v>2594</v>
      </c>
      <c r="D2596" t="str">
        <f t="shared" si="40"/>
        <v/>
      </c>
    </row>
    <row r="2597" spans="1:4">
      <c r="A2597" s="42" t="s">
        <v>2659</v>
      </c>
      <c r="B2597">
        <f>IFERROR(FIND('Simulador IR 2025'!$I$29, A2597), 0)</f>
        <v>1</v>
      </c>
      <c r="C2597">
        <f>IF(B2597&gt;0, MAX($C$2:C2596)+1, "")</f>
        <v>2595</v>
      </c>
      <c r="D2597" t="str">
        <f t="shared" si="40"/>
        <v/>
      </c>
    </row>
    <row r="2598" spans="1:4">
      <c r="A2598" s="42" t="s">
        <v>2660</v>
      </c>
      <c r="B2598">
        <f>IFERROR(FIND('Simulador IR 2025'!$I$29, A2598), 0)</f>
        <v>1</v>
      </c>
      <c r="C2598">
        <f>IF(B2598&gt;0, MAX($C$2:C2597)+1, "")</f>
        <v>2596</v>
      </c>
      <c r="D2598" t="str">
        <f t="shared" si="40"/>
        <v/>
      </c>
    </row>
    <row r="2599" spans="1:4">
      <c r="A2599" s="42" t="s">
        <v>2661</v>
      </c>
      <c r="B2599">
        <f>IFERROR(FIND('Simulador IR 2025'!$I$29, A2599), 0)</f>
        <v>1</v>
      </c>
      <c r="C2599">
        <f>IF(B2599&gt;0, MAX($C$2:C2598)+1, "")</f>
        <v>2597</v>
      </c>
      <c r="D2599" t="str">
        <f t="shared" si="40"/>
        <v/>
      </c>
    </row>
    <row r="2600" spans="1:4">
      <c r="A2600" s="42" t="s">
        <v>2662</v>
      </c>
      <c r="B2600">
        <f>IFERROR(FIND('Simulador IR 2025'!$I$29, A2600), 0)</f>
        <v>1</v>
      </c>
      <c r="C2600">
        <f>IF(B2600&gt;0, MAX($C$2:C2599)+1, "")</f>
        <v>2598</v>
      </c>
      <c r="D2600" t="str">
        <f t="shared" si="40"/>
        <v/>
      </c>
    </row>
    <row r="2601" spans="1:4">
      <c r="A2601" s="42" t="s">
        <v>2663</v>
      </c>
      <c r="B2601">
        <f>IFERROR(FIND('Simulador IR 2025'!$I$29, A2601), 0)</f>
        <v>1</v>
      </c>
      <c r="C2601">
        <f>IF(B2601&gt;0, MAX($C$2:C2600)+1, "")</f>
        <v>2599</v>
      </c>
      <c r="D2601" t="str">
        <f t="shared" si="40"/>
        <v/>
      </c>
    </row>
    <row r="2602" spans="1:4">
      <c r="A2602" s="42" t="s">
        <v>2664</v>
      </c>
      <c r="B2602">
        <f>IFERROR(FIND('Simulador IR 2025'!$I$29, A2602), 0)</f>
        <v>1</v>
      </c>
      <c r="C2602">
        <f>IF(B2602&gt;0, MAX($C$2:C2601)+1, "")</f>
        <v>2600</v>
      </c>
      <c r="D2602" t="str">
        <f t="shared" si="40"/>
        <v/>
      </c>
    </row>
    <row r="2603" spans="1:4">
      <c r="A2603" s="42" t="s">
        <v>2665</v>
      </c>
      <c r="B2603">
        <f>IFERROR(FIND('Simulador IR 2025'!$I$29, A2603), 0)</f>
        <v>1</v>
      </c>
      <c r="C2603">
        <f>IF(B2603&gt;0, MAX($C$2:C2602)+1, "")</f>
        <v>2601</v>
      </c>
      <c r="D2603" t="str">
        <f t="shared" si="40"/>
        <v/>
      </c>
    </row>
    <row r="2604" spans="1:4">
      <c r="A2604" s="42" t="s">
        <v>2666</v>
      </c>
      <c r="B2604">
        <f>IFERROR(FIND('Simulador IR 2025'!$I$29, A2604), 0)</f>
        <v>1</v>
      </c>
      <c r="C2604">
        <f>IF(B2604&gt;0, MAX($C$2:C2603)+1, "")</f>
        <v>2602</v>
      </c>
      <c r="D2604" t="str">
        <f t="shared" si="40"/>
        <v/>
      </c>
    </row>
    <row r="2605" spans="1:4">
      <c r="A2605" s="42" t="s">
        <v>2667</v>
      </c>
      <c r="B2605">
        <f>IFERROR(FIND('Simulador IR 2025'!$I$29, A2605), 0)</f>
        <v>1</v>
      </c>
      <c r="C2605">
        <f>IF(B2605&gt;0, MAX($C$2:C2604)+1, "")</f>
        <v>2603</v>
      </c>
      <c r="D2605" t="str">
        <f t="shared" si="40"/>
        <v/>
      </c>
    </row>
    <row r="2606" spans="1:4">
      <c r="A2606" s="42" t="s">
        <v>2668</v>
      </c>
      <c r="B2606">
        <f>IFERROR(FIND('Simulador IR 2025'!$I$29, A2606), 0)</f>
        <v>1</v>
      </c>
      <c r="C2606">
        <f>IF(B2606&gt;0, MAX($C$2:C2605)+1, "")</f>
        <v>2604</v>
      </c>
      <c r="D2606" t="str">
        <f t="shared" si="40"/>
        <v/>
      </c>
    </row>
    <row r="2607" spans="1:4">
      <c r="A2607" s="42" t="s">
        <v>2669</v>
      </c>
      <c r="B2607">
        <f>IFERROR(FIND('Simulador IR 2025'!$I$29, A2607), 0)</f>
        <v>1</v>
      </c>
      <c r="C2607">
        <f>IF(B2607&gt;0, MAX($C$2:C2606)+1, "")</f>
        <v>2605</v>
      </c>
      <c r="D2607" t="str">
        <f t="shared" si="40"/>
        <v/>
      </c>
    </row>
    <row r="2608" spans="1:4">
      <c r="A2608" s="42" t="s">
        <v>2670</v>
      </c>
      <c r="B2608">
        <f>IFERROR(FIND('Simulador IR 2025'!$I$29, A2608), 0)</f>
        <v>1</v>
      </c>
      <c r="C2608">
        <f>IF(B2608&gt;0, MAX($C$2:C2607)+1, "")</f>
        <v>2606</v>
      </c>
      <c r="D2608" t="str">
        <f t="shared" si="40"/>
        <v/>
      </c>
    </row>
    <row r="2609" spans="1:4">
      <c r="A2609" s="42" t="s">
        <v>2671</v>
      </c>
      <c r="B2609">
        <f>IFERROR(FIND('Simulador IR 2025'!$I$29, A2609), 0)</f>
        <v>1</v>
      </c>
      <c r="C2609">
        <f>IF(B2609&gt;0, MAX($C$2:C2608)+1, "")</f>
        <v>2607</v>
      </c>
      <c r="D2609" t="str">
        <f t="shared" si="40"/>
        <v/>
      </c>
    </row>
    <row r="2610" spans="1:4">
      <c r="A2610" s="42" t="s">
        <v>2672</v>
      </c>
      <c r="B2610">
        <f>IFERROR(FIND('Simulador IR 2025'!$I$29, A2610), 0)</f>
        <v>1</v>
      </c>
      <c r="C2610">
        <f>IF(B2610&gt;0, MAX($C$2:C2609)+1, "")</f>
        <v>2608</v>
      </c>
      <c r="D2610" t="str">
        <f t="shared" si="40"/>
        <v/>
      </c>
    </row>
    <row r="2611" spans="1:4">
      <c r="A2611" s="42" t="s">
        <v>2673</v>
      </c>
      <c r="B2611">
        <f>IFERROR(FIND('Simulador IR 2025'!$I$29, A2611), 0)</f>
        <v>1</v>
      </c>
      <c r="C2611">
        <f>IF(B2611&gt;0, MAX($C$2:C2610)+1, "")</f>
        <v>2609</v>
      </c>
      <c r="D2611" t="str">
        <f t="shared" si="40"/>
        <v/>
      </c>
    </row>
    <row r="2612" spans="1:4">
      <c r="A2612" s="42" t="s">
        <v>2674</v>
      </c>
      <c r="B2612">
        <f>IFERROR(FIND('Simulador IR 2025'!$I$29, A2612), 0)</f>
        <v>1</v>
      </c>
      <c r="C2612">
        <f>IF(B2612&gt;0, MAX($C$2:C2611)+1, "")</f>
        <v>2610</v>
      </c>
      <c r="D2612" t="str">
        <f t="shared" si="40"/>
        <v/>
      </c>
    </row>
    <row r="2613" spans="1:4">
      <c r="A2613" s="42" t="s">
        <v>2675</v>
      </c>
      <c r="B2613">
        <f>IFERROR(FIND('Simulador IR 2025'!$I$29, A2613), 0)</f>
        <v>1</v>
      </c>
      <c r="C2613">
        <f>IF(B2613&gt;0, MAX($C$2:C2612)+1, "")</f>
        <v>2611</v>
      </c>
      <c r="D2613" t="str">
        <f t="shared" si="40"/>
        <v/>
      </c>
    </row>
    <row r="2614" spans="1:4">
      <c r="A2614" s="42" t="s">
        <v>2676</v>
      </c>
      <c r="B2614">
        <f>IFERROR(FIND('Simulador IR 2025'!$I$29, A2614), 0)</f>
        <v>1</v>
      </c>
      <c r="C2614">
        <f>IF(B2614&gt;0, MAX($C$2:C2613)+1, "")</f>
        <v>2612</v>
      </c>
      <c r="D2614" t="str">
        <f t="shared" si="40"/>
        <v/>
      </c>
    </row>
    <row r="2615" spans="1:4">
      <c r="A2615" s="42" t="s">
        <v>2677</v>
      </c>
      <c r="B2615">
        <f>IFERROR(FIND('Simulador IR 2025'!$I$29, A2615), 0)</f>
        <v>1</v>
      </c>
      <c r="C2615">
        <f>IF(B2615&gt;0, MAX($C$2:C2614)+1, "")</f>
        <v>2613</v>
      </c>
      <c r="D2615" t="str">
        <f t="shared" si="40"/>
        <v/>
      </c>
    </row>
    <row r="2616" spans="1:4">
      <c r="A2616" s="42" t="s">
        <v>2678</v>
      </c>
      <c r="B2616">
        <f>IFERROR(FIND('Simulador IR 2025'!$I$29, A2616), 0)</f>
        <v>1</v>
      </c>
      <c r="C2616">
        <f>IF(B2616&gt;0, MAX($C$2:C2615)+1, "")</f>
        <v>2614</v>
      </c>
      <c r="D2616" t="str">
        <f t="shared" si="40"/>
        <v/>
      </c>
    </row>
    <row r="2617" spans="1:4">
      <c r="A2617" s="42" t="s">
        <v>2679</v>
      </c>
      <c r="B2617">
        <f>IFERROR(FIND('Simulador IR 2025'!$I$29, A2617), 0)</f>
        <v>1</v>
      </c>
      <c r="C2617">
        <f>IF(B2617&gt;0, MAX($C$2:C2616)+1, "")</f>
        <v>2615</v>
      </c>
      <c r="D2617" t="str">
        <f t="shared" si="40"/>
        <v/>
      </c>
    </row>
    <row r="2618" spans="1:4">
      <c r="A2618" s="42" t="s">
        <v>2680</v>
      </c>
      <c r="B2618">
        <f>IFERROR(FIND('Simulador IR 2025'!$I$29, A2618), 0)</f>
        <v>1</v>
      </c>
      <c r="C2618">
        <f>IF(B2618&gt;0, MAX($C$2:C2617)+1, "")</f>
        <v>2616</v>
      </c>
      <c r="D2618" t="str">
        <f t="shared" si="40"/>
        <v/>
      </c>
    </row>
    <row r="2619" spans="1:4">
      <c r="A2619" s="42" t="s">
        <v>2681</v>
      </c>
      <c r="B2619">
        <f>IFERROR(FIND('Simulador IR 2025'!$I$29, A2619), 0)</f>
        <v>1</v>
      </c>
      <c r="C2619">
        <f>IF(B2619&gt;0, MAX($C$2:C2618)+1, "")</f>
        <v>2617</v>
      </c>
      <c r="D2619" t="str">
        <f t="shared" si="40"/>
        <v/>
      </c>
    </row>
    <row r="2620" spans="1:4">
      <c r="A2620" s="42" t="s">
        <v>2682</v>
      </c>
      <c r="B2620">
        <f>IFERROR(FIND('Simulador IR 2025'!$I$29, A2620), 0)</f>
        <v>1</v>
      </c>
      <c r="C2620">
        <f>IF(B2620&gt;0, MAX($C$2:C2619)+1, "")</f>
        <v>2618</v>
      </c>
      <c r="D2620" t="str">
        <f t="shared" si="40"/>
        <v/>
      </c>
    </row>
    <row r="2621" spans="1:4">
      <c r="A2621" s="42" t="s">
        <v>2683</v>
      </c>
      <c r="B2621">
        <f>IFERROR(FIND('Simulador IR 2025'!$I$29, A2621), 0)</f>
        <v>1</v>
      </c>
      <c r="C2621">
        <f>IF(B2621&gt;0, MAX($C$2:C2620)+1, "")</f>
        <v>2619</v>
      </c>
      <c r="D2621" t="str">
        <f t="shared" si="40"/>
        <v/>
      </c>
    </row>
    <row r="2622" spans="1:4">
      <c r="A2622" s="42" t="s">
        <v>2684</v>
      </c>
      <c r="B2622">
        <f>IFERROR(FIND('Simulador IR 2025'!$I$29, A2622), 0)</f>
        <v>1</v>
      </c>
      <c r="C2622">
        <f>IF(B2622&gt;0, MAX($C$2:C2621)+1, "")</f>
        <v>2620</v>
      </c>
      <c r="D2622" t="str">
        <f t="shared" si="40"/>
        <v/>
      </c>
    </row>
    <row r="2623" spans="1:4">
      <c r="A2623" s="42" t="s">
        <v>2685</v>
      </c>
      <c r="B2623">
        <f>IFERROR(FIND('Simulador IR 2025'!$I$29, A2623), 0)</f>
        <v>1</v>
      </c>
      <c r="C2623">
        <f>IF(B2623&gt;0, MAX($C$2:C2622)+1, "")</f>
        <v>2621</v>
      </c>
      <c r="D2623" t="str">
        <f t="shared" si="40"/>
        <v/>
      </c>
    </row>
    <row r="2624" spans="1:4">
      <c r="A2624" s="42" t="s">
        <v>2686</v>
      </c>
      <c r="B2624">
        <f>IFERROR(FIND('Simulador IR 2025'!$I$29, A2624), 0)</f>
        <v>1</v>
      </c>
      <c r="C2624">
        <f>IF(B2624&gt;0, MAX($C$2:C2623)+1, "")</f>
        <v>2622</v>
      </c>
      <c r="D2624" t="str">
        <f t="shared" si="40"/>
        <v/>
      </c>
    </row>
    <row r="2625" spans="1:4">
      <c r="A2625" s="42" t="s">
        <v>2687</v>
      </c>
      <c r="B2625">
        <f>IFERROR(FIND('Simulador IR 2025'!$I$29, A2625), 0)</f>
        <v>1</v>
      </c>
      <c r="C2625">
        <f>IF(B2625&gt;0, MAX($C$2:C2624)+1, "")</f>
        <v>2623</v>
      </c>
      <c r="D2625" t="str">
        <f t="shared" si="40"/>
        <v/>
      </c>
    </row>
    <row r="2626" spans="1:4">
      <c r="A2626" s="42" t="s">
        <v>2688</v>
      </c>
      <c r="B2626">
        <f>IFERROR(FIND('Simulador IR 2025'!$I$29, A2626), 0)</f>
        <v>1</v>
      </c>
      <c r="C2626">
        <f>IF(B2626&gt;0, MAX($C$2:C2625)+1, "")</f>
        <v>2624</v>
      </c>
      <c r="D2626" t="str">
        <f t="shared" si="40"/>
        <v/>
      </c>
    </row>
    <row r="2627" spans="1:4">
      <c r="A2627" s="42" t="s">
        <v>2689</v>
      </c>
      <c r="B2627">
        <f>IFERROR(FIND('Simulador IR 2025'!$I$29, A2627), 0)</f>
        <v>1</v>
      </c>
      <c r="C2627">
        <f>IF(B2627&gt;0, MAX($C$2:C2626)+1, "")</f>
        <v>2625</v>
      </c>
      <c r="D2627" t="str">
        <f t="shared" si="40"/>
        <v/>
      </c>
    </row>
    <row r="2628" spans="1:4">
      <c r="A2628" s="42" t="s">
        <v>2690</v>
      </c>
      <c r="B2628">
        <f>IFERROR(FIND('Simulador IR 2025'!$I$29, A2628), 0)</f>
        <v>1</v>
      </c>
      <c r="C2628">
        <f>IF(B2628&gt;0, MAX($C$2:C2627)+1, "")</f>
        <v>2626</v>
      </c>
      <c r="D2628" t="str">
        <f t="shared" ref="D2628:D2681" si="41">IFERROR(VLOOKUP(ROW(A2626), $A$3:$C$2681, -2, FALSE), "")</f>
        <v/>
      </c>
    </row>
    <row r="2629" spans="1:4">
      <c r="A2629" s="42" t="s">
        <v>2691</v>
      </c>
      <c r="B2629">
        <f>IFERROR(FIND('Simulador IR 2025'!$I$29, A2629), 0)</f>
        <v>1</v>
      </c>
      <c r="C2629">
        <f>IF(B2629&gt;0, MAX($C$2:C2628)+1, "")</f>
        <v>2627</v>
      </c>
      <c r="D2629" t="str">
        <f t="shared" si="41"/>
        <v/>
      </c>
    </row>
    <row r="2630" spans="1:4">
      <c r="A2630" s="42" t="s">
        <v>2692</v>
      </c>
      <c r="B2630">
        <f>IFERROR(FIND('Simulador IR 2025'!$I$29, A2630), 0)</f>
        <v>1</v>
      </c>
      <c r="C2630">
        <f>IF(B2630&gt;0, MAX($C$2:C2629)+1, "")</f>
        <v>2628</v>
      </c>
      <c r="D2630" t="str">
        <f t="shared" si="41"/>
        <v/>
      </c>
    </row>
    <row r="2631" spans="1:4">
      <c r="A2631" s="42" t="s">
        <v>2693</v>
      </c>
      <c r="B2631">
        <f>IFERROR(FIND('Simulador IR 2025'!$I$29, A2631), 0)</f>
        <v>1</v>
      </c>
      <c r="C2631">
        <f>IF(B2631&gt;0, MAX($C$2:C2630)+1, "")</f>
        <v>2629</v>
      </c>
      <c r="D2631" t="str">
        <f t="shared" si="41"/>
        <v/>
      </c>
    </row>
    <row r="2632" spans="1:4">
      <c r="A2632" s="42" t="s">
        <v>2694</v>
      </c>
      <c r="B2632">
        <f>IFERROR(FIND('Simulador IR 2025'!$I$29, A2632), 0)</f>
        <v>1</v>
      </c>
      <c r="C2632">
        <f>IF(B2632&gt;0, MAX($C$2:C2631)+1, "")</f>
        <v>2630</v>
      </c>
      <c r="D2632" t="str">
        <f t="shared" si="41"/>
        <v/>
      </c>
    </row>
    <row r="2633" spans="1:4">
      <c r="A2633" s="42" t="s">
        <v>2695</v>
      </c>
      <c r="B2633">
        <f>IFERROR(FIND('Simulador IR 2025'!$I$29, A2633), 0)</f>
        <v>1</v>
      </c>
      <c r="C2633">
        <f>IF(B2633&gt;0, MAX($C$2:C2632)+1, "")</f>
        <v>2631</v>
      </c>
      <c r="D2633" t="str">
        <f t="shared" si="41"/>
        <v/>
      </c>
    </row>
    <row r="2634" spans="1:4">
      <c r="A2634" s="42" t="s">
        <v>2696</v>
      </c>
      <c r="B2634">
        <f>IFERROR(FIND('Simulador IR 2025'!$I$29, A2634), 0)</f>
        <v>1</v>
      </c>
      <c r="C2634">
        <f>IF(B2634&gt;0, MAX($C$2:C2633)+1, "")</f>
        <v>2632</v>
      </c>
      <c r="D2634" t="str">
        <f t="shared" si="41"/>
        <v/>
      </c>
    </row>
    <row r="2635" spans="1:4">
      <c r="A2635" s="42" t="s">
        <v>2697</v>
      </c>
      <c r="B2635">
        <f>IFERROR(FIND('Simulador IR 2025'!$I$29, A2635), 0)</f>
        <v>1</v>
      </c>
      <c r="C2635">
        <f>IF(B2635&gt;0, MAX($C$2:C2634)+1, "")</f>
        <v>2633</v>
      </c>
      <c r="D2635" t="str">
        <f t="shared" si="41"/>
        <v/>
      </c>
    </row>
    <row r="2636" spans="1:4">
      <c r="A2636" s="42" t="s">
        <v>2698</v>
      </c>
      <c r="B2636">
        <f>IFERROR(FIND('Simulador IR 2025'!$I$29, A2636), 0)</f>
        <v>1</v>
      </c>
      <c r="C2636">
        <f>IF(B2636&gt;0, MAX($C$2:C2635)+1, "")</f>
        <v>2634</v>
      </c>
      <c r="D2636" t="str">
        <f t="shared" si="41"/>
        <v/>
      </c>
    </row>
    <row r="2637" spans="1:4">
      <c r="A2637" s="42" t="s">
        <v>2699</v>
      </c>
      <c r="B2637">
        <f>IFERROR(FIND('Simulador IR 2025'!$I$29, A2637), 0)</f>
        <v>1</v>
      </c>
      <c r="C2637">
        <f>IF(B2637&gt;0, MAX($C$2:C2636)+1, "")</f>
        <v>2635</v>
      </c>
      <c r="D2637" t="str">
        <f t="shared" si="41"/>
        <v/>
      </c>
    </row>
    <row r="2638" spans="1:4">
      <c r="A2638" s="42" t="s">
        <v>2700</v>
      </c>
      <c r="B2638">
        <f>IFERROR(FIND('Simulador IR 2025'!$I$29, A2638), 0)</f>
        <v>1</v>
      </c>
      <c r="C2638">
        <f>IF(B2638&gt;0, MAX($C$2:C2637)+1, "")</f>
        <v>2636</v>
      </c>
      <c r="D2638" t="str">
        <f t="shared" si="41"/>
        <v/>
      </c>
    </row>
    <row r="2639" spans="1:4">
      <c r="A2639" s="42" t="s">
        <v>2701</v>
      </c>
      <c r="B2639">
        <f>IFERROR(FIND('Simulador IR 2025'!$I$29, A2639), 0)</f>
        <v>1</v>
      </c>
      <c r="C2639">
        <f>IF(B2639&gt;0, MAX($C$2:C2638)+1, "")</f>
        <v>2637</v>
      </c>
      <c r="D2639" t="str">
        <f t="shared" si="41"/>
        <v/>
      </c>
    </row>
    <row r="2640" spans="1:4">
      <c r="A2640" s="42" t="s">
        <v>2702</v>
      </c>
      <c r="B2640">
        <f>IFERROR(FIND('Simulador IR 2025'!$I$29, A2640), 0)</f>
        <v>1</v>
      </c>
      <c r="C2640">
        <f>IF(B2640&gt;0, MAX($C$2:C2639)+1, "")</f>
        <v>2638</v>
      </c>
      <c r="D2640" t="str">
        <f t="shared" si="41"/>
        <v/>
      </c>
    </row>
    <row r="2641" spans="1:4">
      <c r="A2641" s="42" t="s">
        <v>2703</v>
      </c>
      <c r="B2641">
        <f>IFERROR(FIND('Simulador IR 2025'!$I$29, A2641), 0)</f>
        <v>1</v>
      </c>
      <c r="C2641">
        <f>IF(B2641&gt;0, MAX($C$2:C2640)+1, "")</f>
        <v>2639</v>
      </c>
      <c r="D2641" t="str">
        <f t="shared" si="41"/>
        <v/>
      </c>
    </row>
    <row r="2642" spans="1:4">
      <c r="A2642" s="42" t="s">
        <v>2704</v>
      </c>
      <c r="B2642">
        <f>IFERROR(FIND('Simulador IR 2025'!$I$29, A2642), 0)</f>
        <v>1</v>
      </c>
      <c r="C2642">
        <f>IF(B2642&gt;0, MAX($C$2:C2641)+1, "")</f>
        <v>2640</v>
      </c>
      <c r="D2642" t="str">
        <f t="shared" si="41"/>
        <v/>
      </c>
    </row>
    <row r="2643" spans="1:4">
      <c r="A2643" s="42" t="s">
        <v>2705</v>
      </c>
      <c r="B2643">
        <f>IFERROR(FIND('Simulador IR 2025'!$I$29, A2643), 0)</f>
        <v>1</v>
      </c>
      <c r="C2643">
        <f>IF(B2643&gt;0, MAX($C$2:C2642)+1, "")</f>
        <v>2641</v>
      </c>
      <c r="D2643" t="str">
        <f t="shared" si="41"/>
        <v/>
      </c>
    </row>
    <row r="2644" spans="1:4">
      <c r="A2644" s="42" t="s">
        <v>2706</v>
      </c>
      <c r="B2644">
        <f>IFERROR(FIND('Simulador IR 2025'!$I$29, A2644), 0)</f>
        <v>1</v>
      </c>
      <c r="C2644">
        <f>IF(B2644&gt;0, MAX($C$2:C2643)+1, "")</f>
        <v>2642</v>
      </c>
      <c r="D2644" t="str">
        <f t="shared" si="41"/>
        <v/>
      </c>
    </row>
    <row r="2645" spans="1:4">
      <c r="A2645" s="42" t="s">
        <v>2707</v>
      </c>
      <c r="B2645">
        <f>IFERROR(FIND('Simulador IR 2025'!$I$29, A2645), 0)</f>
        <v>1</v>
      </c>
      <c r="C2645">
        <f>IF(B2645&gt;0, MAX($C$2:C2644)+1, "")</f>
        <v>2643</v>
      </c>
      <c r="D2645" t="str">
        <f t="shared" si="41"/>
        <v/>
      </c>
    </row>
    <row r="2646" spans="1:4">
      <c r="A2646" s="42" t="s">
        <v>2708</v>
      </c>
      <c r="B2646">
        <f>IFERROR(FIND('Simulador IR 2025'!$I$29, A2646), 0)</f>
        <v>1</v>
      </c>
      <c r="C2646">
        <f>IF(B2646&gt;0, MAX($C$2:C2645)+1, "")</f>
        <v>2644</v>
      </c>
      <c r="D2646" t="str">
        <f t="shared" si="41"/>
        <v/>
      </c>
    </row>
    <row r="2647" spans="1:4">
      <c r="A2647" s="42" t="s">
        <v>2709</v>
      </c>
      <c r="B2647">
        <f>IFERROR(FIND('Simulador IR 2025'!$I$29, A2647), 0)</f>
        <v>1</v>
      </c>
      <c r="C2647">
        <f>IF(B2647&gt;0, MAX($C$2:C2646)+1, "")</f>
        <v>2645</v>
      </c>
      <c r="D2647" t="str">
        <f t="shared" si="41"/>
        <v/>
      </c>
    </row>
    <row r="2648" spans="1:4">
      <c r="A2648" s="42" t="s">
        <v>2710</v>
      </c>
      <c r="B2648">
        <f>IFERROR(FIND('Simulador IR 2025'!$I$29, A2648), 0)</f>
        <v>1</v>
      </c>
      <c r="C2648">
        <f>IF(B2648&gt;0, MAX($C$2:C2647)+1, "")</f>
        <v>2646</v>
      </c>
      <c r="D2648" t="str">
        <f t="shared" si="41"/>
        <v/>
      </c>
    </row>
    <row r="2649" spans="1:4">
      <c r="A2649" s="42" t="s">
        <v>2711</v>
      </c>
      <c r="B2649">
        <f>IFERROR(FIND('Simulador IR 2025'!$I$29, A2649), 0)</f>
        <v>1</v>
      </c>
      <c r="C2649">
        <f>IF(B2649&gt;0, MAX($C$2:C2648)+1, "")</f>
        <v>2647</v>
      </c>
      <c r="D2649" t="str">
        <f t="shared" si="41"/>
        <v/>
      </c>
    </row>
    <row r="2650" spans="1:4">
      <c r="A2650" s="42" t="s">
        <v>2712</v>
      </c>
      <c r="B2650">
        <f>IFERROR(FIND('Simulador IR 2025'!$I$29, A2650), 0)</f>
        <v>1</v>
      </c>
      <c r="C2650">
        <f>IF(B2650&gt;0, MAX($C$2:C2649)+1, "")</f>
        <v>2648</v>
      </c>
      <c r="D2650" t="str">
        <f t="shared" si="41"/>
        <v/>
      </c>
    </row>
    <row r="2651" spans="1:4">
      <c r="A2651" s="42" t="s">
        <v>2713</v>
      </c>
      <c r="B2651">
        <f>IFERROR(FIND('Simulador IR 2025'!$I$29, A2651), 0)</f>
        <v>1</v>
      </c>
      <c r="C2651">
        <f>IF(B2651&gt;0, MAX($C$2:C2650)+1, "")</f>
        <v>2649</v>
      </c>
      <c r="D2651" t="str">
        <f t="shared" si="41"/>
        <v/>
      </c>
    </row>
    <row r="2652" spans="1:4">
      <c r="A2652" s="42" t="s">
        <v>2714</v>
      </c>
      <c r="B2652">
        <f>IFERROR(FIND('Simulador IR 2025'!$I$29, A2652), 0)</f>
        <v>1</v>
      </c>
      <c r="C2652">
        <f>IF(B2652&gt;0, MAX($C$2:C2651)+1, "")</f>
        <v>2650</v>
      </c>
      <c r="D2652" t="str">
        <f t="shared" si="41"/>
        <v/>
      </c>
    </row>
    <row r="2653" spans="1:4">
      <c r="A2653" s="42" t="s">
        <v>2715</v>
      </c>
      <c r="B2653">
        <f>IFERROR(FIND('Simulador IR 2025'!$I$29, A2653), 0)</f>
        <v>1</v>
      </c>
      <c r="C2653">
        <f>IF(B2653&gt;0, MAX($C$2:C2652)+1, "")</f>
        <v>2651</v>
      </c>
      <c r="D2653" t="str">
        <f t="shared" si="41"/>
        <v/>
      </c>
    </row>
    <row r="2654" spans="1:4">
      <c r="A2654" s="42" t="s">
        <v>2716</v>
      </c>
      <c r="B2654">
        <f>IFERROR(FIND('Simulador IR 2025'!$I$29, A2654), 0)</f>
        <v>1</v>
      </c>
      <c r="C2654">
        <f>IF(B2654&gt;0, MAX($C$2:C2653)+1, "")</f>
        <v>2652</v>
      </c>
      <c r="D2654" t="str">
        <f t="shared" si="41"/>
        <v/>
      </c>
    </row>
    <row r="2655" spans="1:4">
      <c r="A2655" s="42" t="s">
        <v>2717</v>
      </c>
      <c r="B2655">
        <f>IFERROR(FIND('Simulador IR 2025'!$I$29, A2655), 0)</f>
        <v>1</v>
      </c>
      <c r="C2655">
        <f>IF(B2655&gt;0, MAX($C$2:C2654)+1, "")</f>
        <v>2653</v>
      </c>
      <c r="D2655" t="str">
        <f t="shared" si="41"/>
        <v/>
      </c>
    </row>
    <row r="2656" spans="1:4">
      <c r="A2656" s="42" t="s">
        <v>2718</v>
      </c>
      <c r="B2656">
        <f>IFERROR(FIND('Simulador IR 2025'!$I$29, A2656), 0)</f>
        <v>1</v>
      </c>
      <c r="C2656">
        <f>IF(B2656&gt;0, MAX($C$2:C2655)+1, "")</f>
        <v>2654</v>
      </c>
      <c r="D2656" t="str">
        <f t="shared" si="41"/>
        <v/>
      </c>
    </row>
    <row r="2657" spans="1:4">
      <c r="A2657" s="42" t="s">
        <v>2719</v>
      </c>
      <c r="B2657">
        <f>IFERROR(FIND('Simulador IR 2025'!$I$29, A2657), 0)</f>
        <v>1</v>
      </c>
      <c r="C2657">
        <f>IF(B2657&gt;0, MAX($C$2:C2656)+1, "")</f>
        <v>2655</v>
      </c>
      <c r="D2657" t="str">
        <f t="shared" si="41"/>
        <v/>
      </c>
    </row>
    <row r="2658" spans="1:4">
      <c r="A2658" s="42" t="s">
        <v>2720</v>
      </c>
      <c r="B2658">
        <f>IFERROR(FIND('Simulador IR 2025'!$I$29, A2658), 0)</f>
        <v>1</v>
      </c>
      <c r="C2658">
        <f>IF(B2658&gt;0, MAX($C$2:C2657)+1, "")</f>
        <v>2656</v>
      </c>
      <c r="D2658" t="str">
        <f t="shared" si="41"/>
        <v/>
      </c>
    </row>
    <row r="2659" spans="1:4">
      <c r="A2659" s="42" t="s">
        <v>2721</v>
      </c>
      <c r="B2659">
        <f>IFERROR(FIND('Simulador IR 2025'!$I$29, A2659), 0)</f>
        <v>1</v>
      </c>
      <c r="C2659">
        <f>IF(B2659&gt;0, MAX($C$2:C2658)+1, "")</f>
        <v>2657</v>
      </c>
      <c r="D2659" t="str">
        <f t="shared" si="41"/>
        <v/>
      </c>
    </row>
    <row r="2660" spans="1:4">
      <c r="A2660" s="42" t="s">
        <v>2722</v>
      </c>
      <c r="B2660">
        <f>IFERROR(FIND('Simulador IR 2025'!$I$29, A2660), 0)</f>
        <v>1</v>
      </c>
      <c r="C2660">
        <f>IF(B2660&gt;0, MAX($C$2:C2659)+1, "")</f>
        <v>2658</v>
      </c>
      <c r="D2660" t="str">
        <f t="shared" si="41"/>
        <v/>
      </c>
    </row>
    <row r="2661" spans="1:4">
      <c r="A2661" s="42" t="s">
        <v>2723</v>
      </c>
      <c r="B2661">
        <f>IFERROR(FIND('Simulador IR 2025'!$I$29, A2661), 0)</f>
        <v>1</v>
      </c>
      <c r="C2661">
        <f>IF(B2661&gt;0, MAX($C$2:C2660)+1, "")</f>
        <v>2659</v>
      </c>
      <c r="D2661" t="str">
        <f t="shared" si="41"/>
        <v/>
      </c>
    </row>
    <row r="2662" spans="1:4">
      <c r="A2662" s="42" t="s">
        <v>2724</v>
      </c>
      <c r="B2662">
        <f>IFERROR(FIND('Simulador IR 2025'!$I$29, A2662), 0)</f>
        <v>1</v>
      </c>
      <c r="C2662">
        <f>IF(B2662&gt;0, MAX($C$2:C2661)+1, "")</f>
        <v>2660</v>
      </c>
      <c r="D2662" t="str">
        <f t="shared" si="41"/>
        <v/>
      </c>
    </row>
    <row r="2663" spans="1:4">
      <c r="A2663" s="42" t="s">
        <v>2725</v>
      </c>
      <c r="B2663">
        <f>IFERROR(FIND('Simulador IR 2025'!$I$29, A2663), 0)</f>
        <v>1</v>
      </c>
      <c r="C2663">
        <f>IF(B2663&gt;0, MAX($C$2:C2662)+1, "")</f>
        <v>2661</v>
      </c>
      <c r="D2663" t="str">
        <f t="shared" si="41"/>
        <v/>
      </c>
    </row>
    <row r="2664" spans="1:4">
      <c r="A2664" s="42" t="s">
        <v>2726</v>
      </c>
      <c r="B2664">
        <f>IFERROR(FIND('Simulador IR 2025'!$I$29, A2664), 0)</f>
        <v>1</v>
      </c>
      <c r="C2664">
        <f>IF(B2664&gt;0, MAX($C$2:C2663)+1, "")</f>
        <v>2662</v>
      </c>
      <c r="D2664" t="str">
        <f t="shared" si="41"/>
        <v/>
      </c>
    </row>
    <row r="2665" spans="1:4">
      <c r="A2665" s="42" t="s">
        <v>2727</v>
      </c>
      <c r="B2665">
        <f>IFERROR(FIND('Simulador IR 2025'!$I$29, A2665), 0)</f>
        <v>1</v>
      </c>
      <c r="C2665">
        <f>IF(B2665&gt;0, MAX($C$2:C2664)+1, "")</f>
        <v>2663</v>
      </c>
      <c r="D2665" t="str">
        <f t="shared" si="41"/>
        <v/>
      </c>
    </row>
    <row r="2666" spans="1:4">
      <c r="A2666" s="42" t="s">
        <v>2728</v>
      </c>
      <c r="B2666">
        <f>IFERROR(FIND('Simulador IR 2025'!$I$29, A2666), 0)</f>
        <v>1</v>
      </c>
      <c r="C2666">
        <f>IF(B2666&gt;0, MAX($C$2:C2665)+1, "")</f>
        <v>2664</v>
      </c>
      <c r="D2666" t="str">
        <f t="shared" si="41"/>
        <v/>
      </c>
    </row>
    <row r="2667" spans="1:4">
      <c r="A2667" s="42" t="s">
        <v>2729</v>
      </c>
      <c r="B2667">
        <f>IFERROR(FIND('Simulador IR 2025'!$I$29, A2667), 0)</f>
        <v>1</v>
      </c>
      <c r="C2667">
        <f>IF(B2667&gt;0, MAX($C$2:C2666)+1, "")</f>
        <v>2665</v>
      </c>
      <c r="D2667" t="str">
        <f t="shared" si="41"/>
        <v/>
      </c>
    </row>
    <row r="2668" spans="1:4">
      <c r="A2668" s="42" t="s">
        <v>2730</v>
      </c>
      <c r="B2668">
        <f>IFERROR(FIND('Simulador IR 2025'!$I$29, A2668), 0)</f>
        <v>1</v>
      </c>
      <c r="C2668">
        <f>IF(B2668&gt;0, MAX($C$2:C2667)+1, "")</f>
        <v>2666</v>
      </c>
      <c r="D2668" t="str">
        <f t="shared" si="41"/>
        <v/>
      </c>
    </row>
    <row r="2669" spans="1:4">
      <c r="A2669" s="42" t="s">
        <v>2731</v>
      </c>
      <c r="B2669">
        <f>IFERROR(FIND('Simulador IR 2025'!$I$29, A2669), 0)</f>
        <v>1</v>
      </c>
      <c r="C2669">
        <f>IF(B2669&gt;0, MAX($C$2:C2668)+1, "")</f>
        <v>2667</v>
      </c>
      <c r="D2669" t="str">
        <f t="shared" si="41"/>
        <v/>
      </c>
    </row>
    <row r="2670" spans="1:4">
      <c r="A2670" s="42" t="s">
        <v>2732</v>
      </c>
      <c r="B2670">
        <f>IFERROR(FIND('Simulador IR 2025'!$I$29, A2670), 0)</f>
        <v>1</v>
      </c>
      <c r="C2670">
        <f>IF(B2670&gt;0, MAX($C$2:C2669)+1, "")</f>
        <v>2668</v>
      </c>
      <c r="D2670" t="str">
        <f t="shared" si="41"/>
        <v/>
      </c>
    </row>
    <row r="2671" spans="1:4">
      <c r="A2671" s="42" t="s">
        <v>2733</v>
      </c>
      <c r="B2671">
        <f>IFERROR(FIND('Simulador IR 2025'!$I$29, A2671), 0)</f>
        <v>1</v>
      </c>
      <c r="C2671">
        <f>IF(B2671&gt;0, MAX($C$2:C2670)+1, "")</f>
        <v>2669</v>
      </c>
      <c r="D2671" t="str">
        <f t="shared" si="41"/>
        <v/>
      </c>
    </row>
    <row r="2672" spans="1:4">
      <c r="A2672" s="42" t="s">
        <v>2734</v>
      </c>
      <c r="B2672">
        <f>IFERROR(FIND('Simulador IR 2025'!$I$29, A2672), 0)</f>
        <v>1</v>
      </c>
      <c r="C2672">
        <f>IF(B2672&gt;0, MAX($C$2:C2671)+1, "")</f>
        <v>2670</v>
      </c>
      <c r="D2672" t="str">
        <f t="shared" si="41"/>
        <v/>
      </c>
    </row>
    <row r="2673" spans="1:4">
      <c r="A2673" s="42" t="s">
        <v>2735</v>
      </c>
      <c r="B2673">
        <f>IFERROR(FIND('Simulador IR 2025'!$I$29, A2673), 0)</f>
        <v>1</v>
      </c>
      <c r="C2673">
        <f>IF(B2673&gt;0, MAX($C$2:C2672)+1, "")</f>
        <v>2671</v>
      </c>
      <c r="D2673" t="str">
        <f t="shared" si="41"/>
        <v/>
      </c>
    </row>
    <row r="2674" spans="1:4">
      <c r="A2674" s="42" t="s">
        <v>2736</v>
      </c>
      <c r="B2674">
        <f>IFERROR(FIND('Simulador IR 2025'!$I$29, A2674), 0)</f>
        <v>1</v>
      </c>
      <c r="C2674">
        <f>IF(B2674&gt;0, MAX($C$2:C2673)+1, "")</f>
        <v>2672</v>
      </c>
      <c r="D2674" t="str">
        <f t="shared" si="41"/>
        <v/>
      </c>
    </row>
    <row r="2675" spans="1:4">
      <c r="A2675" s="42" t="s">
        <v>2737</v>
      </c>
      <c r="B2675">
        <f>IFERROR(FIND('Simulador IR 2025'!$I$29, A2675), 0)</f>
        <v>1</v>
      </c>
      <c r="C2675">
        <f>IF(B2675&gt;0, MAX($C$2:C2674)+1, "")</f>
        <v>2673</v>
      </c>
      <c r="D2675" t="str">
        <f t="shared" si="41"/>
        <v/>
      </c>
    </row>
    <row r="2676" spans="1:4">
      <c r="A2676" s="42" t="s">
        <v>2738</v>
      </c>
      <c r="B2676">
        <f>IFERROR(FIND('Simulador IR 2025'!$I$29, A2676), 0)</f>
        <v>1</v>
      </c>
      <c r="C2676">
        <f>IF(B2676&gt;0, MAX($C$2:C2675)+1, "")</f>
        <v>2674</v>
      </c>
      <c r="D2676" t="str">
        <f t="shared" si="41"/>
        <v/>
      </c>
    </row>
    <row r="2677" spans="1:4">
      <c r="A2677" s="42" t="s">
        <v>2739</v>
      </c>
      <c r="B2677">
        <f>IFERROR(FIND('Simulador IR 2025'!$I$29, A2677), 0)</f>
        <v>1</v>
      </c>
      <c r="C2677">
        <f>IF(B2677&gt;0, MAX($C$2:C2676)+1, "")</f>
        <v>2675</v>
      </c>
      <c r="D2677" t="str">
        <f t="shared" si="41"/>
        <v/>
      </c>
    </row>
    <row r="2678" spans="1:4">
      <c r="A2678" s="42" t="s">
        <v>2740</v>
      </c>
      <c r="B2678">
        <f>IFERROR(FIND('Simulador IR 2025'!$I$29, A2678), 0)</f>
        <v>1</v>
      </c>
      <c r="C2678">
        <f>IF(B2678&gt;0, MAX($C$2:C2677)+1, "")</f>
        <v>2676</v>
      </c>
      <c r="D2678" t="str">
        <f t="shared" si="41"/>
        <v/>
      </c>
    </row>
    <row r="2679" spans="1:4">
      <c r="A2679" s="42" t="s">
        <v>2741</v>
      </c>
      <c r="B2679">
        <f>IFERROR(FIND('Simulador IR 2025'!$I$29, A2679), 0)</f>
        <v>1</v>
      </c>
      <c r="C2679">
        <f>IF(B2679&gt;0, MAX($C$2:C2678)+1, "")</f>
        <v>2677</v>
      </c>
      <c r="D2679" t="str">
        <f t="shared" si="41"/>
        <v/>
      </c>
    </row>
    <row r="2680" spans="1:4">
      <c r="A2680" s="42" t="s">
        <v>2742</v>
      </c>
      <c r="B2680">
        <f>IFERROR(FIND('Simulador IR 2025'!$I$29, A2680), 0)</f>
        <v>1</v>
      </c>
      <c r="C2680">
        <f>IF(B2680&gt;0, MAX($C$2:C2679)+1, "")</f>
        <v>2678</v>
      </c>
      <c r="D2680" t="str">
        <f t="shared" si="41"/>
        <v/>
      </c>
    </row>
    <row r="2681" spans="1:4">
      <c r="A2681" s="42" t="s">
        <v>2743</v>
      </c>
      <c r="B2681">
        <f>IFERROR(FIND('Simulador IR 2025'!$I$29, A2681), 0)</f>
        <v>1</v>
      </c>
      <c r="C2681">
        <f>IF(B2681&gt;0, MAX($C$2:C2680)+1, "")</f>
        <v>2679</v>
      </c>
      <c r="D2681" t="str">
        <f t="shared" si="41"/>
        <v/>
      </c>
    </row>
    <row r="2682" spans="1:4">
      <c r="A2682" s="46" t="s">
        <v>2750</v>
      </c>
      <c r="B2682">
        <f>IFERROR(FIND('Simulador IR 2025'!$I$29, A2682), 0)</f>
        <v>1</v>
      </c>
      <c r="C2682">
        <f>IF(B2682&gt;0, MAX($C$2:C2681)+1, "")</f>
        <v>2680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Simulador  IR 2024</vt:lpstr>
      <vt:lpstr>Simulador IR 2025</vt:lpstr>
      <vt:lpstr>Controle de revisão</vt:lpstr>
      <vt:lpstr>Tabela CBO</vt:lpstr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Jrod</cp:lastModifiedBy>
  <cp:lastPrinted>2026-08-04T19:34:50Z</cp:lastPrinted>
  <dcterms:created xsi:type="dcterms:W3CDTF">2025-03-31T18:44:38Z</dcterms:created>
  <dcterms:modified xsi:type="dcterms:W3CDTF">2026-08-17T12:14:40Z</dcterms:modified>
</cp:coreProperties>
</file>